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 Dashboard" sheetId="1" state="visible" r:id="rId1"/>
    <sheet name="📋 CRM Table" sheetId="2" state="visible" r:id="rId2"/>
    <sheet name="📈 Status Dashboard" sheetId="3" state="visible" r:id="rId3"/>
    <sheet name="👥 Customer CRM" sheetId="4" state="visible" r:id="rId4"/>
    <sheet name="🏢 Business Groups" sheetId="5" state="visible" r:id="rId5"/>
    <sheet name="🛡️ Guard Rail" sheetId="6" state="visible" r:id="rId6"/>
    <sheet name="📦 Product Matrix" sheetId="7" state="visible" r:id="rId7"/>
    <sheet name="✅ Follow-Up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Tahoma"/>
      <b val="1"/>
      <color rgb="00FFFFFF"/>
      <sz val="13"/>
    </font>
    <font>
      <name val="Tahoma"/>
      <b val="1"/>
      <color rgb="00FFFFFF"/>
      <sz val="9"/>
    </font>
    <font>
      <name val="Tahoma"/>
      <b val="1"/>
      <color rgb="00FFFFFF"/>
      <sz val="14"/>
    </font>
    <font>
      <name val="Tahoma"/>
      <b val="1"/>
      <color rgb="00FFFFFF"/>
      <sz val="10"/>
    </font>
    <font>
      <name val="Tahoma"/>
      <color rgb="00000000"/>
      <sz val="9"/>
    </font>
    <font>
      <name val="Tahoma"/>
      <b val="1"/>
      <color rgb="00000000"/>
      <sz val="9"/>
    </font>
    <font>
      <name val="Tahoma"/>
      <b val="1"/>
      <color rgb="001A237E"/>
      <sz val="9"/>
    </font>
    <font>
      <name val="Tahoma"/>
      <i val="1"/>
      <color rgb="000D47A1"/>
      <sz val="9"/>
    </font>
    <font>
      <name val="Tahoma"/>
      <b val="1"/>
      <color rgb="001B5E20"/>
      <sz val="9"/>
    </font>
    <font>
      <name val="Tahoma"/>
      <b val="1"/>
      <color rgb="00B71C1C"/>
      <sz val="9"/>
    </font>
    <font>
      <name val="Tahoma"/>
      <b val="1"/>
      <color rgb="00E65100"/>
      <sz val="9"/>
    </font>
    <font>
      <name val="Tahoma"/>
      <b val="1"/>
      <color rgb="004A148C"/>
      <sz val="9"/>
    </font>
    <font>
      <name val="Tahoma"/>
      <b val="1"/>
      <color rgb="0037474F"/>
      <sz val="9"/>
    </font>
    <font>
      <name val="Tahoma"/>
      <b val="1"/>
      <color rgb="0033691E"/>
      <sz val="9"/>
    </font>
    <font>
      <name val="Tahoma"/>
      <b val="1"/>
      <color rgb="00455A64"/>
      <sz val="9"/>
    </font>
    <font>
      <name val="Tahoma"/>
      <b val="1"/>
      <color rgb="00BF360C"/>
      <sz val="10"/>
    </font>
  </fonts>
  <fills count="2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B71C1C"/>
      </patternFill>
    </fill>
    <fill>
      <patternFill patternType="solid">
        <fgColor rgb="00E65100"/>
      </patternFill>
    </fill>
    <fill>
      <patternFill patternType="solid">
        <fgColor rgb="0037474F"/>
      </patternFill>
    </fill>
    <fill>
      <patternFill patternType="solid">
        <fgColor rgb="002E7D32"/>
      </patternFill>
    </fill>
    <fill>
      <patternFill patternType="solid">
        <fgColor rgb="00546E7A"/>
      </patternFill>
    </fill>
    <fill>
      <patternFill patternType="solid">
        <fgColor rgb="0000695C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4A148C"/>
      </patternFill>
    </fill>
    <fill>
      <patternFill patternType="solid">
        <fgColor rgb="006A1B9A"/>
      </patternFill>
    </fill>
    <fill>
      <patternFill patternType="solid">
        <fgColor rgb="00C62828"/>
      </patternFill>
    </fill>
    <fill>
      <patternFill patternType="solid">
        <fgColor rgb="00FFCCBC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AFAFA"/>
      </patternFill>
    </fill>
    <fill>
      <patternFill patternType="solid">
        <fgColor rgb="001565C0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FBE9E7"/>
      </patternFill>
    </fill>
    <fill>
      <patternFill patternType="solid">
        <fgColor rgb="00BF360C"/>
      </patternFill>
    </fill>
    <fill>
      <patternFill patternType="solid">
        <fgColor rgb="001B5E20"/>
      </patternFill>
    </fill>
  </fills>
  <borders count="4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7B8D9B"/>
      </left>
      <right style="thin">
        <color rgb="007B8D9B"/>
      </right>
      <top style="thin">
        <color rgb="007B8D9B"/>
      </top>
      <bottom style="thin">
        <color rgb="007B8D9B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4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4" fontId="5" fillId="11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4" fontId="5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4" fontId="5" fillId="16" borderId="1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 wrapText="1"/>
    </xf>
    <xf numFmtId="0" fontId="5" fillId="17" borderId="3" applyAlignment="1" pivotButton="0" quotePrefix="0" xfId="0">
      <alignment horizontal="center" vertical="center"/>
    </xf>
    <xf numFmtId="0" fontId="5" fillId="17" borderId="3" applyAlignment="1" pivotButton="0" quotePrefix="0" xfId="0">
      <alignment horizontal="left" vertical="center"/>
    </xf>
    <xf numFmtId="0" fontId="5" fillId="17" borderId="3" applyAlignment="1" pivotButton="0" quotePrefix="0" xfId="0">
      <alignment horizontal="left" vertical="center" wrapText="1"/>
    </xf>
    <xf numFmtId="4" fontId="5" fillId="17" borderId="3" applyAlignment="1" pivotButton="0" quotePrefix="0" xfId="0">
      <alignment horizontal="right" vertical="center"/>
    </xf>
    <xf numFmtId="0" fontId="5" fillId="16" borderId="3" applyAlignment="1" pivotButton="0" quotePrefix="0" xfId="0">
      <alignment horizontal="center" vertical="center"/>
    </xf>
    <xf numFmtId="0" fontId="5" fillId="16" borderId="3" applyAlignment="1" pivotButton="0" quotePrefix="0" xfId="0">
      <alignment horizontal="left" vertical="center"/>
    </xf>
    <xf numFmtId="0" fontId="5" fillId="16" borderId="3" applyAlignment="1" pivotButton="0" quotePrefix="0" xfId="0">
      <alignment horizontal="left" vertical="center" wrapText="1"/>
    </xf>
    <xf numFmtId="4" fontId="5" fillId="16" borderId="3" applyAlignment="1" pivotButton="0" quotePrefix="0" xfId="0">
      <alignment horizontal="right" vertical="center"/>
    </xf>
    <xf numFmtId="0" fontId="5" fillId="18" borderId="3" applyAlignment="1" pivotButton="0" quotePrefix="0" xfId="0">
      <alignment horizontal="center" vertical="center"/>
    </xf>
    <xf numFmtId="0" fontId="5" fillId="18" borderId="3" applyAlignment="1" pivotButton="0" quotePrefix="0" xfId="0">
      <alignment horizontal="left" vertical="center"/>
    </xf>
    <xf numFmtId="0" fontId="5" fillId="18" borderId="3" applyAlignment="1" pivotButton="0" quotePrefix="0" xfId="0">
      <alignment horizontal="left" vertical="center" wrapText="1"/>
    </xf>
    <xf numFmtId="4" fontId="5" fillId="18" borderId="3" applyAlignment="1" pivotButton="0" quotePrefix="0" xfId="0">
      <alignment horizontal="right" vertical="center"/>
    </xf>
    <xf numFmtId="0" fontId="5" fillId="15" borderId="3" applyAlignment="1" pivotButton="0" quotePrefix="0" xfId="0">
      <alignment horizontal="center" vertical="center"/>
    </xf>
    <xf numFmtId="0" fontId="5" fillId="15" borderId="3" applyAlignment="1" pivotButton="0" quotePrefix="0" xfId="0">
      <alignment horizontal="left" vertical="center"/>
    </xf>
    <xf numFmtId="0" fontId="5" fillId="15" borderId="3" applyAlignment="1" pivotButton="0" quotePrefix="0" xfId="0">
      <alignment horizontal="left" vertical="center" wrapText="1"/>
    </xf>
    <xf numFmtId="4" fontId="5" fillId="15" borderId="3" applyAlignment="1" pivotButton="0" quotePrefix="0" xfId="0">
      <alignment horizontal="right" vertical="center"/>
    </xf>
    <xf numFmtId="4" fontId="2" fillId="2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center" vertical="center"/>
    </xf>
    <xf numFmtId="4" fontId="5" fillId="17" borderId="1" applyAlignment="1" pivotButton="0" quotePrefix="0" xfId="0">
      <alignment horizontal="center" vertical="center"/>
    </xf>
    <xf numFmtId="164" fontId="5" fillId="17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left" vertical="center"/>
    </xf>
    <xf numFmtId="164" fontId="5" fillId="11" borderId="1" applyAlignment="1" pivotButton="0" quotePrefix="0" xfId="0">
      <alignment horizontal="center" vertical="center"/>
    </xf>
    <xf numFmtId="0" fontId="11" fillId="17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left" vertical="center"/>
    </xf>
    <xf numFmtId="0" fontId="14" fillId="17" borderId="1" applyAlignment="1" pivotButton="0" quotePrefix="0" xfId="0">
      <alignment horizontal="left" vertical="center"/>
    </xf>
    <xf numFmtId="0" fontId="15" fillId="11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3" fontId="2" fillId="2" borderId="1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center" vertical="center"/>
    </xf>
    <xf numFmtId="4" fontId="5" fillId="18" borderId="1" applyAlignment="1" pivotButton="0" quotePrefix="0" xfId="0">
      <alignment horizontal="center" vertical="center"/>
    </xf>
    <xf numFmtId="4" fontId="5" fillId="15" borderId="3" applyAlignment="1" pivotButton="0" quotePrefix="0" xfId="0">
      <alignment horizontal="center" vertical="center"/>
    </xf>
    <xf numFmtId="4" fontId="5" fillId="16" borderId="3" applyAlignment="1" pivotButton="0" quotePrefix="0" xfId="0">
      <alignment horizontal="center" vertical="center"/>
    </xf>
    <xf numFmtId="4" fontId="5" fillId="17" borderId="3" applyAlignment="1" pivotButton="0" quotePrefix="0" xfId="0">
      <alignment horizontal="center" vertical="center"/>
    </xf>
    <xf numFmtId="4" fontId="5" fillId="18" borderId="3" applyAlignment="1" pivotButton="0" quotePrefix="0" xfId="0">
      <alignment horizontal="center" vertical="center"/>
    </xf>
    <xf numFmtId="0" fontId="4" fillId="19" borderId="0" applyAlignment="1" pivotButton="0" quotePrefix="0" xfId="0">
      <alignment horizontal="left" vertical="center"/>
    </xf>
    <xf numFmtId="0" fontId="2" fillId="19" borderId="1" applyAlignment="1" pivotButton="0" quotePrefix="0" xfId="0">
      <alignment horizontal="center" vertical="center"/>
    </xf>
    <xf numFmtId="0" fontId="5" fillId="11" borderId="3" applyAlignment="1" pivotButton="0" quotePrefix="0" xfId="0">
      <alignment horizontal="center" vertical="center"/>
    </xf>
    <xf numFmtId="0" fontId="5" fillId="11" borderId="3" applyAlignment="1" pivotButton="0" quotePrefix="0" xfId="0">
      <alignment horizontal="left" vertical="center"/>
    </xf>
    <xf numFmtId="4" fontId="5" fillId="11" borderId="3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5" fillId="10" borderId="3" applyAlignment="1" pivotButton="0" quotePrefix="0" xfId="0">
      <alignment horizontal="left" vertical="center"/>
    </xf>
    <xf numFmtId="4" fontId="5" fillId="10" borderId="3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4" fontId="2" fillId="19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4" fontId="2" fillId="7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left" vertical="center"/>
    </xf>
    <xf numFmtId="0" fontId="5" fillId="20" borderId="3" applyAlignment="1" pivotButton="0" quotePrefix="0" xfId="0">
      <alignment horizontal="center" vertical="center"/>
    </xf>
    <xf numFmtId="0" fontId="5" fillId="20" borderId="3" applyAlignment="1" pivotButton="0" quotePrefix="0" xfId="0">
      <alignment horizontal="left" vertical="center"/>
    </xf>
    <xf numFmtId="4" fontId="5" fillId="20" borderId="3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4" fontId="2" fillId="13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5" fillId="21" borderId="3" applyAlignment="1" pivotButton="0" quotePrefix="0" xfId="0">
      <alignment horizontal="center" vertical="center"/>
    </xf>
    <xf numFmtId="0" fontId="5" fillId="21" borderId="3" applyAlignment="1" pivotButton="0" quotePrefix="0" xfId="0">
      <alignment horizontal="left" vertical="center"/>
    </xf>
    <xf numFmtId="4" fontId="5" fillId="21" borderId="3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4" fontId="2" fillId="5" borderId="0" applyAlignment="1" pivotButton="0" quotePrefix="0" xfId="0">
      <alignment horizontal="center" vertical="center"/>
    </xf>
    <xf numFmtId="0" fontId="16" fillId="22" borderId="0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 wrapText="1"/>
    </xf>
    <xf numFmtId="0" fontId="5" fillId="22" borderId="3" applyAlignment="1" pivotButton="0" quotePrefix="0" xfId="0">
      <alignment horizontal="center" vertical="center"/>
    </xf>
    <xf numFmtId="0" fontId="5" fillId="22" borderId="3" applyAlignment="1" pivotButton="0" quotePrefix="0" xfId="0">
      <alignment horizontal="left" vertical="center"/>
    </xf>
    <xf numFmtId="4" fontId="5" fillId="22" borderId="3" applyAlignment="1" pivotButton="0" quotePrefix="0" xfId="0">
      <alignment horizontal="center" vertical="center"/>
    </xf>
    <xf numFmtId="0" fontId="2" fillId="23" borderId="0" applyAlignment="1" pivotButton="0" quotePrefix="0" xfId="0">
      <alignment horizontal="center" vertical="center"/>
    </xf>
    <xf numFmtId="4" fontId="2" fillId="23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3" fontId="5" fillId="10" borderId="1" applyAlignment="1" pivotButton="0" quotePrefix="0" xfId="0">
      <alignment horizontal="center" vertical="center"/>
    </xf>
    <xf numFmtId="3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3" fontId="5" fillId="11" borderId="1" applyAlignment="1" pivotButton="0" quotePrefix="0" xfId="0">
      <alignment horizontal="center" vertical="center"/>
    </xf>
    <xf numFmtId="3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0" fontId="9" fillId="17" borderId="0" applyAlignment="1" pivotButton="0" quotePrefix="0" xfId="0">
      <alignment horizontal="center" vertical="center"/>
    </xf>
    <xf numFmtId="0" fontId="2" fillId="24" borderId="2" applyAlignment="1" pivotButton="0" quotePrefix="0" xfId="0">
      <alignment horizontal="center" vertical="center" wrapText="1"/>
    </xf>
    <xf numFmtId="0" fontId="2" fillId="24" borderId="0" applyAlignment="1" pivotButton="0" quotePrefix="0" xfId="0">
      <alignment horizontal="center" vertical="center"/>
    </xf>
    <xf numFmtId="4" fontId="2" fillId="2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37E"/>
    <outlinePr summaryBelow="1" summaryRight="1"/>
    <pageSetUpPr/>
  </sheetPr>
  <dimension ref="A1:P51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" t="inlineStr">
        <is>
          <t xml:space="preserve">  LeKise Trading  —  CRM &amp; Pipeline Analysis 2026  |  Pole Division  |  อัปเดต 16 มิ.ย. 2569</t>
        </is>
      </c>
    </row>
    <row r="2" ht="6" customHeight="1"/>
    <row r="3" ht="20" customHeight="1">
      <c r="A3" s="2" t="inlineStr">
        <is>
          <t xml:space="preserve">  Pipeline รวม (incl VAT)</t>
        </is>
      </c>
      <c r="C3" s="3" t="inlineStr">
        <is>
          <t xml:space="preserve">  ก่อน VAT รวม</t>
        </is>
      </c>
      <c r="E3" s="4" t="inlineStr">
        <is>
          <t xml:space="preserve">  🔥 Hot Deals (≥3M)</t>
        </is>
      </c>
      <c r="G3" s="5" t="inlineStr">
        <is>
          <t xml:space="preserve">  📞 Follow-High (1-3M)</t>
        </is>
      </c>
      <c r="I3" s="6" t="inlineStr">
        <is>
          <t xml:space="preserve">  จำนวนใบเสนอราคา</t>
        </is>
      </c>
      <c r="K3" s="2" t="inlineStr">
        <is>
          <t xml:space="preserve">  ลูกค้าไม่ซ้ำ</t>
        </is>
      </c>
      <c r="M3" s="7" t="inlineStr">
        <is>
          <t xml:space="preserve">  📋 ติดตาม (0.3-1M)</t>
        </is>
      </c>
      <c r="O3" s="8" t="inlineStr">
        <is>
          <t xml:space="preserve">  ⚪ รอผล (&lt;0.3M)</t>
        </is>
      </c>
    </row>
    <row r="4" ht="28" customHeight="1">
      <c r="A4" s="9" t="inlineStr">
        <is>
          <t>฿ 183.8M</t>
        </is>
      </c>
      <c r="C4" s="10" t="inlineStr">
        <is>
          <t>฿ 171.8M</t>
        </is>
      </c>
      <c r="E4" s="11" t="inlineStr">
        <is>
          <t>฿ 62.0M</t>
        </is>
      </c>
      <c r="G4" s="12" t="inlineStr">
        <is>
          <t>฿ 49.3M</t>
        </is>
      </c>
      <c r="I4" s="13" t="inlineStr">
        <is>
          <t>311 ใบ</t>
        </is>
      </c>
      <c r="K4" s="9" t="inlineStr">
        <is>
          <t>273 ราย</t>
        </is>
      </c>
      <c r="M4" s="14" t="inlineStr">
        <is>
          <t>฿ 55.0M</t>
        </is>
      </c>
      <c r="O4" s="15" t="inlineStr">
        <is>
          <t>฿ 17.6M</t>
        </is>
      </c>
    </row>
    <row r="5" ht="8" customHeight="1"/>
    <row r="6">
      <c r="A6" s="16" t="inlineStr">
        <is>
          <t>📅 Pipeline รายเดือน (incl VAT)</t>
        </is>
      </c>
    </row>
    <row r="7" ht="22" customHeight="1">
      <c r="A7" s="17" t="inlineStr">
        <is>
          <t>เดือน</t>
        </is>
      </c>
      <c r="B7" s="17" t="inlineStr">
        <is>
          <t>ใบเสนอ</t>
        </is>
      </c>
      <c r="C7" s="17" t="inlineStr">
        <is>
          <t>ก่อน VAT</t>
        </is>
      </c>
      <c r="D7" s="17" t="inlineStr">
        <is>
          <t>VAT 7%</t>
        </is>
      </c>
      <c r="E7" s="17" t="inlineStr">
        <is>
          <t>รวม incl VAT</t>
        </is>
      </c>
      <c r="F7" s="17" t="inlineStr">
        <is>
          <t>% Pipeline</t>
        </is>
      </c>
      <c r="G7" s="17" t="inlineStr">
        <is>
          <t>สถานะ</t>
        </is>
      </c>
    </row>
    <row r="8">
      <c r="A8" s="18" t="inlineStr">
        <is>
          <t>2026-01</t>
        </is>
      </c>
      <c r="B8" s="18" t="n">
        <v>58</v>
      </c>
      <c r="C8" s="19" t="n">
        <v>49030066.41</v>
      </c>
      <c r="D8" s="19" t="n">
        <v>3432104.65</v>
      </c>
      <c r="E8" s="19" t="n">
        <v>52462171.06</v>
      </c>
      <c r="F8" s="18" t="inlineStr">
        <is>
          <t>28.5%</t>
        </is>
      </c>
      <c r="G8" s="18" t="inlineStr">
        <is>
          <t>🔥</t>
        </is>
      </c>
    </row>
    <row r="9">
      <c r="A9" s="20" t="inlineStr">
        <is>
          <t>2026-02</t>
        </is>
      </c>
      <c r="B9" s="20" t="n">
        <v>56</v>
      </c>
      <c r="C9" s="21" t="n">
        <v>19978371.79</v>
      </c>
      <c r="D9" s="21" t="n">
        <v>1398486.03</v>
      </c>
      <c r="E9" s="21" t="n">
        <v>21376857.82</v>
      </c>
      <c r="F9" s="20" t="inlineStr">
        <is>
          <t>11.6%</t>
        </is>
      </c>
      <c r="G9" s="20" t="inlineStr">
        <is>
          <t>🔥</t>
        </is>
      </c>
    </row>
    <row r="10">
      <c r="A10" s="18" t="inlineStr">
        <is>
          <t>2026-03</t>
        </is>
      </c>
      <c r="B10" s="18" t="n">
        <v>54</v>
      </c>
      <c r="C10" s="19" t="n">
        <v>18459011.28</v>
      </c>
      <c r="D10" s="19" t="n">
        <v>1292130.79</v>
      </c>
      <c r="E10" s="19" t="n">
        <v>19751142.07</v>
      </c>
      <c r="F10" s="18" t="inlineStr">
        <is>
          <t>10.7%</t>
        </is>
      </c>
      <c r="G10" s="18" t="inlineStr">
        <is>
          <t>🔥</t>
        </is>
      </c>
    </row>
    <row r="11">
      <c r="A11" s="20" t="inlineStr">
        <is>
          <t>2026-04</t>
        </is>
      </c>
      <c r="B11" s="20" t="n">
        <v>47</v>
      </c>
      <c r="C11" s="21" t="n">
        <v>17954717.01</v>
      </c>
      <c r="D11" s="21" t="n">
        <v>1256830.19</v>
      </c>
      <c r="E11" s="21" t="n">
        <v>19211547.2</v>
      </c>
      <c r="F11" s="20" t="inlineStr">
        <is>
          <t>10.5%</t>
        </is>
      </c>
      <c r="G11" s="20" t="inlineStr">
        <is>
          <t>🔥</t>
        </is>
      </c>
    </row>
    <row r="12">
      <c r="A12" s="18" t="inlineStr">
        <is>
          <t>2026-05</t>
        </is>
      </c>
      <c r="B12" s="18" t="n">
        <v>65</v>
      </c>
      <c r="C12" s="19" t="n">
        <v>37399846.61</v>
      </c>
      <c r="D12" s="19" t="n">
        <v>2617989.26</v>
      </c>
      <c r="E12" s="19" t="n">
        <v>40017835.87</v>
      </c>
      <c r="F12" s="18" t="inlineStr">
        <is>
          <t>21.8%</t>
        </is>
      </c>
      <c r="G12" s="18" t="inlineStr">
        <is>
          <t>🔥</t>
        </is>
      </c>
    </row>
    <row r="13">
      <c r="A13" s="20" t="inlineStr">
        <is>
          <t>2026-06</t>
        </is>
      </c>
      <c r="B13" s="20" t="n">
        <v>31</v>
      </c>
      <c r="C13" s="21" t="n">
        <v>28993371.82</v>
      </c>
      <c r="D13" s="21" t="n">
        <v>2029536.03</v>
      </c>
      <c r="E13" s="21" t="n">
        <v>31022907.85</v>
      </c>
      <c r="F13" s="20" t="inlineStr">
        <is>
          <t>16.9%</t>
        </is>
      </c>
      <c r="G13" s="20" t="inlineStr">
        <is>
          <t>🔥</t>
        </is>
      </c>
    </row>
    <row r="14" ht="20" customHeight="1">
      <c r="A14" s="22" t="inlineStr">
        <is>
          <t>รวมทั้งหมด</t>
        </is>
      </c>
      <c r="C14" s="23" t="n">
        <v>171846684.88</v>
      </c>
      <c r="D14" s="23" t="n">
        <v>11995776.99</v>
      </c>
      <c r="E14" s="23" t="n">
        <v>183842461.87</v>
      </c>
      <c r="F14" s="22" t="inlineStr">
        <is>
          <t>100%</t>
        </is>
      </c>
    </row>
    <row r="16">
      <c r="A16" s="24" t="inlineStr">
        <is>
          <t>📦 Pipeline by กลุ่มสินค้า</t>
        </is>
      </c>
    </row>
    <row r="17">
      <c r="A17" s="25" t="inlineStr">
        <is>
          <t>กลุ่มสินค้า</t>
        </is>
      </c>
      <c r="B17" s="25" t="inlineStr">
        <is>
          <t>ใบเสนอ</t>
        </is>
      </c>
      <c r="C17" s="25" t="inlineStr">
        <is>
          <t>มูลค่า (incl VAT)</t>
        </is>
      </c>
      <c r="D17" s="25" t="inlineStr">
        <is>
          <t>% Pipeline</t>
        </is>
      </c>
    </row>
    <row r="18">
      <c r="A18" s="26" t="inlineStr">
        <is>
          <t>High Mast</t>
        </is>
      </c>
      <c r="B18" s="20" t="n">
        <v>74</v>
      </c>
      <c r="C18" s="21" t="n">
        <v>77140276.98999999</v>
      </c>
      <c r="D18" s="20" t="inlineStr">
        <is>
          <t>42.0%</t>
        </is>
      </c>
    </row>
    <row r="19">
      <c r="A19" s="27" t="inlineStr">
        <is>
          <t>Guard Rail / การ์ดเรล</t>
        </is>
      </c>
      <c r="B19" s="18" t="n">
        <v>21</v>
      </c>
      <c r="C19" s="19" t="n">
        <v>17260953.23</v>
      </c>
      <c r="D19" s="18" t="inlineStr">
        <is>
          <t>9.4%</t>
        </is>
      </c>
    </row>
    <row r="20">
      <c r="A20" s="26" t="inlineStr">
        <is>
          <t>เสาไฟถนน</t>
        </is>
      </c>
      <c r="B20" s="20" t="n">
        <v>133</v>
      </c>
      <c r="C20" s="21" t="n">
        <v>61747862.22</v>
      </c>
      <c r="D20" s="20" t="inlineStr">
        <is>
          <t>33.6%</t>
        </is>
      </c>
    </row>
    <row r="21">
      <c r="A21" s="27" t="inlineStr">
        <is>
          <t>LED Streetlight</t>
        </is>
      </c>
      <c r="B21" s="18" t="n">
        <v>15</v>
      </c>
      <c r="C21" s="19" t="n">
        <v>4571903.6</v>
      </c>
      <c r="D21" s="18" t="inlineStr">
        <is>
          <t>2.5%</t>
        </is>
      </c>
    </row>
    <row r="22">
      <c r="A22" s="26" t="inlineStr">
        <is>
          <t>LED Floodlight</t>
        </is>
      </c>
      <c r="B22" s="20" t="n">
        <v>4</v>
      </c>
      <c r="C22" s="21" t="n">
        <v>3151514.87</v>
      </c>
      <c r="D22" s="20" t="inlineStr">
        <is>
          <t>1.7%</t>
        </is>
      </c>
    </row>
    <row r="23">
      <c r="A23" s="27" t="inlineStr">
        <is>
          <t>LED Highbay</t>
        </is>
      </c>
      <c r="B23" s="18" t="n">
        <v>2</v>
      </c>
      <c r="C23" s="19" t="n">
        <v>266470.23</v>
      </c>
      <c r="D23" s="18" t="inlineStr">
        <is>
          <t>0.1%</t>
        </is>
      </c>
    </row>
    <row r="24">
      <c r="A24" s="26" t="inlineStr">
        <is>
          <t>Solar</t>
        </is>
      </c>
      <c r="B24" s="20" t="n">
        <v>3</v>
      </c>
      <c r="C24" s="21" t="n">
        <v>675355.92</v>
      </c>
      <c r="D24" s="20" t="inlineStr">
        <is>
          <t>0.4%</t>
        </is>
      </c>
    </row>
    <row r="25">
      <c r="A25" s="27" t="inlineStr">
        <is>
          <t>สายส่งไฟฟ้า</t>
        </is>
      </c>
      <c r="B25" s="18" t="n">
        <v>1</v>
      </c>
      <c r="C25" s="19" t="n">
        <v>2615208.4</v>
      </c>
      <c r="D25" s="18" t="inlineStr">
        <is>
          <t>1.4%</t>
        </is>
      </c>
    </row>
    <row r="26">
      <c r="A26" s="26" t="inlineStr">
        <is>
          <t>Hardware / Accessories</t>
        </is>
      </c>
      <c r="B26" s="20" t="n">
        <v>3</v>
      </c>
      <c r="C26" s="21" t="n">
        <v>120572.31</v>
      </c>
      <c r="D26" s="20" t="inlineStr">
        <is>
          <t>0.1%</t>
        </is>
      </c>
    </row>
    <row r="27">
      <c r="A27" s="27" t="inlineStr">
        <is>
          <t>Electrical Accessories</t>
        </is>
      </c>
      <c r="B27" s="18" t="n">
        <v>3</v>
      </c>
      <c r="C27" s="19" t="n">
        <v>96098.89</v>
      </c>
      <c r="D27" s="18" t="inlineStr">
        <is>
          <t>0.1%</t>
        </is>
      </c>
    </row>
    <row r="28">
      <c r="A28" s="26" t="inlineStr">
        <is>
          <t>อื่นๆ</t>
        </is>
      </c>
      <c r="B28" s="20" t="n">
        <v>52</v>
      </c>
      <c r="C28" s="21" t="n">
        <v>16196245.21</v>
      </c>
      <c r="D28" s="20" t="inlineStr">
        <is>
          <t>8.8%</t>
        </is>
      </c>
    </row>
    <row r="30">
      <c r="A30" s="28" t="inlineStr">
        <is>
          <t>🏆 Top 20 ลูกค้า (Pipeline incl VAT)</t>
        </is>
      </c>
    </row>
    <row r="31">
      <c r="A31" s="29" t="inlineStr">
        <is>
          <t>#</t>
        </is>
      </c>
      <c r="B31" s="29" t="inlineStr">
        <is>
          <t>ชื่อลูกค้า</t>
        </is>
      </c>
      <c r="C31" s="29" t="inlineStr">
        <is>
          <t>ใบเสนอ</t>
        </is>
      </c>
      <c r="D31" s="29" t="inlineStr">
        <is>
          <t>มูลค่า (฿)</t>
        </is>
      </c>
      <c r="E31" s="29" t="inlineStr">
        <is>
          <t>% Pipeline</t>
        </is>
      </c>
    </row>
    <row r="32">
      <c r="A32" s="30" t="n">
        <v>1</v>
      </c>
      <c r="B32" s="31" t="inlineStr">
        <is>
          <t>กรรณเลิศ เทรดดิ้ง</t>
        </is>
      </c>
      <c r="C32" s="30" t="n">
        <v>3</v>
      </c>
      <c r="D32" s="32" t="n">
        <v>9826598.33</v>
      </c>
      <c r="E32" s="30" t="inlineStr">
        <is>
          <t>5.3%</t>
        </is>
      </c>
    </row>
    <row r="33">
      <c r="A33" s="30" t="n">
        <v>2</v>
      </c>
      <c r="B33" s="31" t="inlineStr">
        <is>
          <t>ภิรมย์ กรุ๊ป</t>
        </is>
      </c>
      <c r="C33" s="30" t="n">
        <v>1</v>
      </c>
      <c r="D33" s="32" t="n">
        <v>9536178.119999999</v>
      </c>
      <c r="E33" s="30" t="inlineStr">
        <is>
          <t>5.2%</t>
        </is>
      </c>
    </row>
    <row r="34">
      <c r="A34" s="30" t="n">
        <v>3</v>
      </c>
      <c r="B34" s="31" t="inlineStr">
        <is>
          <t>สุรัตน์</t>
        </is>
      </c>
      <c r="C34" s="30" t="n">
        <v>1</v>
      </c>
      <c r="D34" s="32" t="n">
        <v>7387488.65</v>
      </c>
      <c r="E34" s="30" t="inlineStr">
        <is>
          <t>4.0%</t>
        </is>
      </c>
    </row>
    <row r="35">
      <c r="A35" s="30" t="n">
        <v>4</v>
      </c>
      <c r="B35" s="31" t="inlineStr">
        <is>
          <t>ห้างหุ้นส่วนจำกัด สมบูรณ์อิเล็กทริค หนองบัวลำภู</t>
        </is>
      </c>
      <c r="C35" s="30" t="n">
        <v>1</v>
      </c>
      <c r="D35" s="32" t="n">
        <v>6855170.07</v>
      </c>
      <c r="E35" s="30" t="inlineStr">
        <is>
          <t>3.7%</t>
        </is>
      </c>
    </row>
    <row r="36">
      <c r="A36" s="30" t="n">
        <v>5</v>
      </c>
      <c r="B36" s="31" t="inlineStr">
        <is>
          <t>ต้นตะวัน</t>
        </is>
      </c>
      <c r="C36" s="30" t="n">
        <v>1</v>
      </c>
      <c r="D36" s="32" t="n">
        <v>5807540.03</v>
      </c>
      <c r="E36" s="30" t="inlineStr">
        <is>
          <t>3.2%</t>
        </is>
      </c>
    </row>
    <row r="37">
      <c r="A37" s="30" t="n">
        <v>6</v>
      </c>
      <c r="B37" s="31" t="inlineStr">
        <is>
          <t>วันชัยการไฟฟ้า HM20_8</t>
        </is>
      </c>
      <c r="C37" s="30" t="n">
        <v>1</v>
      </c>
      <c r="D37" s="32" t="n">
        <v>4709493.29</v>
      </c>
      <c r="E37" s="30" t="inlineStr">
        <is>
          <t>2.6%</t>
        </is>
      </c>
    </row>
    <row r="38">
      <c r="A38" s="30" t="n">
        <v>7</v>
      </c>
      <c r="B38" s="31" t="inlineStr">
        <is>
          <t>วันชัยการไฟฟ้า</t>
        </is>
      </c>
      <c r="C38" s="30" t="n">
        <v>1</v>
      </c>
      <c r="D38" s="32" t="n">
        <v>4425301.72</v>
      </c>
      <c r="E38" s="30" t="inlineStr">
        <is>
          <t>2.4%</t>
        </is>
      </c>
    </row>
    <row r="39">
      <c r="A39" s="30" t="n">
        <v>8</v>
      </c>
      <c r="B39" s="31" t="inlineStr">
        <is>
          <t>เบตเตอร์ เวิร์ลด</t>
        </is>
      </c>
      <c r="C39" s="30" t="n">
        <v>1</v>
      </c>
      <c r="D39" s="32" t="n">
        <v>3838838.61</v>
      </c>
      <c r="E39" s="30" t="inlineStr">
        <is>
          <t>2.1%</t>
        </is>
      </c>
    </row>
    <row r="40">
      <c r="A40" s="30" t="n">
        <v>9</v>
      </c>
      <c r="B40" s="31" t="inlineStr">
        <is>
          <t>เทศบาลนครเชียงใหม่</t>
        </is>
      </c>
      <c r="C40" s="30" t="n">
        <v>1</v>
      </c>
      <c r="D40" s="32" t="n">
        <v>3805428.25</v>
      </c>
      <c r="E40" s="30" t="inlineStr">
        <is>
          <t>2.1%</t>
        </is>
      </c>
    </row>
    <row r="41">
      <c r="A41" s="30" t="n">
        <v>10</v>
      </c>
      <c r="B41" s="31" t="inlineStr">
        <is>
          <t>วันชัยการไฟฟ้า 2019</t>
        </is>
      </c>
      <c r="C41" s="30" t="n">
        <v>1</v>
      </c>
      <c r="D41" s="32" t="n">
        <v>3578683.05</v>
      </c>
      <c r="E41" s="30" t="inlineStr">
        <is>
          <t>1.9%</t>
        </is>
      </c>
    </row>
    <row r="42">
      <c r="A42" s="30" t="n">
        <v>11</v>
      </c>
      <c r="B42" s="31" t="inlineStr">
        <is>
          <t>บริษัท เดอะวิน เทเลคอม จำกัด</t>
        </is>
      </c>
      <c r="C42" s="30" t="n">
        <v>1</v>
      </c>
      <c r="D42" s="32" t="n">
        <v>3257133.5</v>
      </c>
      <c r="E42" s="30" t="inlineStr">
        <is>
          <t>1.8%</t>
        </is>
      </c>
    </row>
    <row r="43">
      <c r="A43" s="33" t="n">
        <v>12</v>
      </c>
      <c r="B43" s="34" t="inlineStr">
        <is>
          <t>เค บี เอ็ม _25ม. 15</t>
        </is>
      </c>
      <c r="C43" s="33" t="n">
        <v>1</v>
      </c>
      <c r="D43" s="35" t="n">
        <v>2747332</v>
      </c>
      <c r="E43" s="33" t="inlineStr">
        <is>
          <t>1.5%</t>
        </is>
      </c>
    </row>
    <row r="44">
      <c r="A44" s="33" t="n">
        <v>13</v>
      </c>
      <c r="B44" s="34" t="inlineStr">
        <is>
          <t>ทองมาคอนแทรคเตอร์</t>
        </is>
      </c>
      <c r="C44" s="33" t="n">
        <v>1</v>
      </c>
      <c r="D44" s="35" t="n">
        <v>2645229.82</v>
      </c>
      <c r="E44" s="33" t="inlineStr">
        <is>
          <t>1.4%</t>
        </is>
      </c>
    </row>
    <row r="45">
      <c r="A45" s="33" t="n">
        <v>14</v>
      </c>
      <c r="B45" s="34" t="inlineStr">
        <is>
          <t>ทูพีเอส</t>
        </is>
      </c>
      <c r="C45" s="33" t="n">
        <v>1</v>
      </c>
      <c r="D45" s="35" t="n">
        <v>2615208.4</v>
      </c>
      <c r="E45" s="33" t="inlineStr">
        <is>
          <t>1.4%</t>
        </is>
      </c>
    </row>
    <row r="46">
      <c r="A46" s="33" t="n">
        <v>15</v>
      </c>
      <c r="B46" s="34" t="inlineStr">
        <is>
          <t>วุทธิวงษ์ เทรดดิ้ง -Solar Split Type</t>
        </is>
      </c>
      <c r="C46" s="33" t="n">
        <v>1</v>
      </c>
      <c r="D46" s="35" t="n">
        <v>2257700</v>
      </c>
      <c r="E46" s="33" t="inlineStr">
        <is>
          <t>1.2%</t>
        </is>
      </c>
    </row>
    <row r="47">
      <c r="A47" s="33" t="n">
        <v>16</v>
      </c>
      <c r="B47" s="34" t="inlineStr">
        <is>
          <t>บางน้อย</t>
        </is>
      </c>
      <c r="C47" s="33" t="n">
        <v>4</v>
      </c>
      <c r="D47" s="35" t="n">
        <v>2242703.73</v>
      </c>
      <c r="E47" s="33" t="inlineStr">
        <is>
          <t>1.2%</t>
        </is>
      </c>
    </row>
    <row r="48">
      <c r="A48" s="33" t="n">
        <v>17</v>
      </c>
      <c r="B48" s="34" t="inlineStr">
        <is>
          <t>บริษัท มอส เอ็นเนอร์ยี่ จำกัด</t>
        </is>
      </c>
      <c r="C48" s="33" t="n">
        <v>1</v>
      </c>
      <c r="D48" s="35" t="n">
        <v>2235405.48</v>
      </c>
      <c r="E48" s="33" t="inlineStr">
        <is>
          <t>1.2%</t>
        </is>
      </c>
    </row>
    <row r="49">
      <c r="A49" s="33" t="n">
        <v>18</v>
      </c>
      <c r="B49" s="34" t="inlineStr">
        <is>
          <t>ชาคริส</t>
        </is>
      </c>
      <c r="C49" s="33" t="n">
        <v>1</v>
      </c>
      <c r="D49" s="35" t="n">
        <v>2202175.35</v>
      </c>
      <c r="E49" s="33" t="inlineStr">
        <is>
          <t>1.2%</t>
        </is>
      </c>
    </row>
    <row r="50">
      <c r="A50" s="33" t="n">
        <v>19</v>
      </c>
      <c r="B50" s="34" t="inlineStr">
        <is>
          <t>อุดมไลท์ติ้ง</t>
        </is>
      </c>
      <c r="C50" s="33" t="n">
        <v>1</v>
      </c>
      <c r="D50" s="35" t="n">
        <v>2197341.3</v>
      </c>
      <c r="E50" s="33" t="inlineStr">
        <is>
          <t>1.2%</t>
        </is>
      </c>
    </row>
    <row r="51">
      <c r="A51" s="33" t="n">
        <v>20</v>
      </c>
      <c r="B51" s="34" t="inlineStr">
        <is>
          <t>หจก.ชนก อิเล็คทริค</t>
        </is>
      </c>
      <c r="C51" s="33" t="n">
        <v>1</v>
      </c>
      <c r="D51" s="35" t="n">
        <v>2110831.8</v>
      </c>
      <c r="E51" s="33" t="inlineStr">
        <is>
          <t>1.1%</t>
        </is>
      </c>
    </row>
  </sheetData>
  <mergeCells count="21">
    <mergeCell ref="A30:E30"/>
    <mergeCell ref="O3:P3"/>
    <mergeCell ref="A6:B6"/>
    <mergeCell ref="C4:D4"/>
    <mergeCell ref="A1:N1"/>
    <mergeCell ref="E4:F4"/>
    <mergeCell ref="O4:P4"/>
    <mergeCell ref="A3:B3"/>
    <mergeCell ref="G3:H3"/>
    <mergeCell ref="I3:J3"/>
    <mergeCell ref="A16:C16"/>
    <mergeCell ref="A14:B14"/>
    <mergeCell ref="M3:N3"/>
    <mergeCell ref="A4:B4"/>
    <mergeCell ref="G4:H4"/>
    <mergeCell ref="I4:J4"/>
    <mergeCell ref="K4:L4"/>
    <mergeCell ref="C3:D3"/>
    <mergeCell ref="M4:N4"/>
    <mergeCell ref="E3:F3"/>
    <mergeCell ref="K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83593"/>
    <outlinePr summaryBelow="1" summaryRight="1"/>
    <pageSetUpPr/>
  </sheetPr>
  <dimension ref="A1:S3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26" customWidth="1" min="3" max="3"/>
    <col width="12" customWidth="1" min="4" max="4"/>
    <col width="22" customWidth="1" min="5" max="5"/>
    <col width="20" customWidth="1" min="6" max="6"/>
    <col width="20" customWidth="1" min="7" max="7"/>
    <col width="38" customWidth="1" min="8" max="8"/>
    <col width="14" customWidth="1" min="9" max="9"/>
    <col width="12" customWidth="1" min="10" max="10"/>
    <col width="14" customWidth="1" min="11" max="11"/>
    <col width="18" customWidth="1" min="12" max="12"/>
    <col width="10" customWidth="1" min="13" max="13"/>
    <col width="8" customWidth="1" min="14" max="14"/>
    <col width="14" customWidth="1" min="15" max="15"/>
    <col width="20" customWidth="1" min="16" max="16"/>
    <col width="28" customWidth="1" min="17" max="17"/>
    <col width="14" customWidth="1" min="18" max="18"/>
    <col width="14" customWidth="1" min="19" max="19"/>
  </cols>
  <sheetData>
    <row r="1" ht="22" customHeight="1">
      <c r="A1" s="1" t="inlineStr">
        <is>
          <t xml:space="preserve">  LeKise CRM  |  ใบเสนอราคา 2026  |  311 รายการ  |  อัปเดต 16 มิ.ย. 2569  |  ตัด Revision ซ้ำ (รวม PL857)</t>
        </is>
      </c>
    </row>
    <row r="2" ht="6" customHeight="1"/>
    <row r="3" ht="18" customHeight="1">
      <c r="A3" s="36" t="inlineStr">
        <is>
          <t xml:space="preserve">  Pipeline: 183.8M ฿</t>
        </is>
      </c>
      <c r="F3" s="36" t="inlineStr">
        <is>
          <t xml:space="preserve">  Hot≥3M: 62.0M ฿</t>
        </is>
      </c>
      <c r="K3" s="36" t="inlineStr">
        <is>
          <t xml:space="preserve">  311 ใบ (ทบทวนแล้ว)</t>
        </is>
      </c>
      <c r="O3" s="36" t="inlineStr">
        <is>
          <t xml:space="preserve">  EGAT:2.3M | DOA:3.1M | APT:5.8M</t>
        </is>
      </c>
    </row>
    <row r="4" ht="32" customHeight="1">
      <c r="A4" s="37" t="inlineStr">
        <is>
          <t>PL No.</t>
        </is>
      </c>
      <c r="B4" s="37" t="inlineStr">
        <is>
          <t>เดือน</t>
        </is>
      </c>
      <c r="C4" s="37" t="inlineStr">
        <is>
          <t>ชื่อลูกค้า</t>
        </is>
      </c>
      <c r="D4" s="37" t="inlineStr">
        <is>
          <t>ประเภท</t>
        </is>
      </c>
      <c r="E4" s="37" t="inlineStr">
        <is>
          <t>เลขที่ใบเสนอ</t>
        </is>
      </c>
      <c r="F4" s="37" t="inlineStr">
        <is>
          <t>วันที่</t>
        </is>
      </c>
      <c r="G4" s="37" t="inlineStr">
        <is>
          <t>กลุ่มสินค้า</t>
        </is>
      </c>
      <c r="H4" s="37" t="inlineStr">
        <is>
          <t>สินค้าหลัก</t>
        </is>
      </c>
      <c r="I4" s="37" t="inlineStr">
        <is>
          <t>ก่อน VAT (฿)</t>
        </is>
      </c>
      <c r="J4" s="37" t="inlineStr">
        <is>
          <t>VAT 7% (฿)</t>
        </is>
      </c>
      <c r="K4" s="37" t="inlineStr">
        <is>
          <t>รวม incl VAT (฿)</t>
        </is>
      </c>
      <c r="L4" s="37" t="inlineStr">
        <is>
          <t>สถานะ (Auto)</t>
        </is>
      </c>
      <c r="M4" s="37" t="inlineStr">
        <is>
          <t>ความสำคัญ</t>
        </is>
      </c>
      <c r="N4" s="37" t="inlineStr">
        <is>
          <t>จำนวน</t>
        </is>
      </c>
      <c r="O4" s="37" t="inlineStr">
        <is>
          <t>กลุ่มงาน</t>
        </is>
      </c>
      <c r="P4" s="37" t="inlineStr">
        <is>
          <t>★ สถานะตามจริง</t>
        </is>
      </c>
      <c r="Q4" s="37" t="inlineStr">
        <is>
          <t>หมายเหตุ / ผลติดต่อ</t>
        </is>
      </c>
      <c r="R4" s="37" t="inlineStr">
        <is>
          <t>วันติดตาม</t>
        </is>
      </c>
      <c r="S4" s="37" t="inlineStr">
        <is>
          <t>Action</t>
        </is>
      </c>
    </row>
    <row r="5" ht="15" customHeight="1">
      <c r="A5" s="38" t="inlineStr">
        <is>
          <t>PL34</t>
        </is>
      </c>
      <c r="B5" s="38" t="inlineStr">
        <is>
          <t>2026-04</t>
        </is>
      </c>
      <c r="C5" s="39" t="n"/>
      <c r="D5" s="38" t="inlineStr">
        <is>
          <t>B2B อื่นๆ</t>
        </is>
      </c>
      <c r="E5" s="38" t="inlineStr">
        <is>
          <t>LKT. 2026-04 -PL819</t>
        </is>
      </c>
      <c r="F5" s="38" t="inlineStr">
        <is>
          <t>17 เมษายน 2026</t>
        </is>
      </c>
      <c r="G5" s="38" t="inlineStr">
        <is>
          <t>LED Streetlight</t>
        </is>
      </c>
      <c r="H5" s="40" t="inlineStr">
        <is>
          <t>กิ่ง (ทอกลมหนา 2.3mm.) ขนาด 2x2.4 ม. R300 ตัด 2 ทาง</t>
        </is>
      </c>
      <c r="I5" s="41" t="n">
        <v>711088</v>
      </c>
      <c r="J5" s="41" t="n">
        <v>49776.16</v>
      </c>
      <c r="K5" s="41" t="n">
        <v>760864.16</v>
      </c>
      <c r="L5" s="38" t="inlineStr">
        <is>
          <t>📋 ติดตาม</t>
        </is>
      </c>
      <c r="M5" s="38" t="inlineStr">
        <is>
          <t>กลาง</t>
        </is>
      </c>
      <c r="N5" s="38" t="n">
        <v>1</v>
      </c>
      <c r="O5" s="38" t="inlineStr">
        <is>
          <t>—</t>
        </is>
      </c>
      <c r="P5" s="38" t="n"/>
      <c r="Q5" s="38" t="n"/>
      <c r="R5" s="38" t="n"/>
      <c r="S5" s="38" t="n"/>
    </row>
    <row r="6" ht="15" customHeight="1">
      <c r="A6" s="42" t="inlineStr">
        <is>
          <t>PL607</t>
        </is>
      </c>
      <c r="B6" s="42" t="inlineStr">
        <is>
          <t>2026-01</t>
        </is>
      </c>
      <c r="C6" s="43" t="inlineStr">
        <is>
          <t>อินเตอร์ เอ็กซ์เพิร์ท</t>
        </is>
      </c>
      <c r="D6" s="42" t="inlineStr">
        <is>
          <t>B2B อื่นๆ</t>
        </is>
      </c>
      <c r="E6" s="42" t="inlineStr">
        <is>
          <t>LKT. 2026-01 -PL607</t>
        </is>
      </c>
      <c r="F6" s="42" t="inlineStr">
        <is>
          <t>5 มกราคม 2025</t>
        </is>
      </c>
      <c r="G6" s="42" t="inlineStr">
        <is>
          <t>High Mast</t>
        </is>
      </c>
      <c r="H6" s="44" t="inlineStr">
        <is>
          <t>High Mast 15 M PCD550 M32 8 Hole + วงแหวน 6 โคม REV.3</t>
        </is>
      </c>
      <c r="I6" s="45" t="n">
        <v>1068540.6</v>
      </c>
      <c r="J6" s="45" t="n">
        <v>74797.84</v>
      </c>
      <c r="K6" s="45" t="n">
        <v>1143338.44</v>
      </c>
      <c r="L6" s="42" t="inlineStr">
        <is>
          <t>📞 ติดตาม-High</t>
        </is>
      </c>
      <c r="M6" s="42" t="inlineStr">
        <is>
          <t>สูง</t>
        </is>
      </c>
      <c r="N6" s="42" t="n">
        <v>1</v>
      </c>
      <c r="O6" s="42" t="inlineStr">
        <is>
          <t>—</t>
        </is>
      </c>
      <c r="P6" s="42" t="n"/>
      <c r="Q6" s="42" t="n"/>
      <c r="R6" s="42" t="n"/>
      <c r="S6" s="42" t="n"/>
    </row>
    <row r="7" ht="15" customHeight="1">
      <c r="A7" s="38" t="inlineStr">
        <is>
          <t>PL608</t>
        </is>
      </c>
      <c r="B7" s="38" t="inlineStr">
        <is>
          <t>2026-01</t>
        </is>
      </c>
      <c r="C7" s="39" t="inlineStr">
        <is>
          <t>คุณมานพ  รัตนภาค</t>
        </is>
      </c>
      <c r="D7" s="38" t="inlineStr">
        <is>
          <t>B2C บุคคล</t>
        </is>
      </c>
      <c r="E7" s="38" t="inlineStr">
        <is>
          <t>LKT. 2026-01-PL608</t>
        </is>
      </c>
      <c r="F7" s="38" t="inlineStr">
        <is>
          <t>5 มกราคม 2026</t>
        </is>
      </c>
      <c r="G7" s="38" t="inlineStr">
        <is>
          <t>อื่นๆ</t>
        </is>
      </c>
      <c r="H7" s="40" t="inlineStr">
        <is>
          <t>อื่นๆ</t>
        </is>
      </c>
      <c r="I7" s="41" t="n">
        <v>476828.8</v>
      </c>
      <c r="J7" s="41" t="n">
        <v>33378.02</v>
      </c>
      <c r="K7" s="41" t="n">
        <v>510206.82</v>
      </c>
      <c r="L7" s="38" t="inlineStr">
        <is>
          <t>📋 ติดตาม</t>
        </is>
      </c>
      <c r="M7" s="38" t="inlineStr">
        <is>
          <t>กลาง</t>
        </is>
      </c>
      <c r="N7" s="38" t="n">
        <v>0</v>
      </c>
      <c r="O7" s="38" t="inlineStr">
        <is>
          <t>—</t>
        </is>
      </c>
      <c r="P7" s="38" t="n"/>
      <c r="Q7" s="38" t="n"/>
      <c r="R7" s="38" t="n"/>
      <c r="S7" s="38" t="n"/>
    </row>
    <row r="8" ht="15" customHeight="1">
      <c r="A8" s="46" t="inlineStr">
        <is>
          <t>PL609</t>
        </is>
      </c>
      <c r="B8" s="46" t="inlineStr">
        <is>
          <t>2026-01</t>
        </is>
      </c>
      <c r="C8" s="47" t="inlineStr">
        <is>
          <t>PT ชาติดกิติออย</t>
        </is>
      </c>
      <c r="D8" s="46" t="inlineStr">
        <is>
          <t>B2B อื่นๆ</t>
        </is>
      </c>
      <c r="E8" s="46" t="inlineStr">
        <is>
          <t>LKT. 2026-01 -PL609</t>
        </is>
      </c>
      <c r="F8" s="46" t="inlineStr">
        <is>
          <t>6 มกราคม 2026</t>
        </is>
      </c>
      <c r="G8" s="46" t="inlineStr">
        <is>
          <t>LED Streetlight</t>
        </is>
      </c>
      <c r="H8" s="48" t="inlineStr">
        <is>
          <t>LED Streetlight 150W 5700K 19,500lm CRI70 140D</t>
        </is>
      </c>
      <c r="I8" s="49" t="n">
        <v>203000</v>
      </c>
      <c r="J8" s="49" t="n">
        <v>14210</v>
      </c>
      <c r="K8" s="49" t="n">
        <v>217210</v>
      </c>
      <c r="L8" s="46" t="inlineStr">
        <is>
          <t>⚪ รอผล</t>
        </is>
      </c>
      <c r="M8" s="46" t="inlineStr">
        <is>
          <t>ต่ำ</t>
        </is>
      </c>
      <c r="N8" s="46" t="n">
        <v>1</v>
      </c>
      <c r="O8" s="46" t="inlineStr">
        <is>
          <t>—</t>
        </is>
      </c>
      <c r="P8" s="46" t="n"/>
      <c r="Q8" s="46" t="n"/>
      <c r="R8" s="46" t="n"/>
      <c r="S8" s="46" t="n"/>
    </row>
    <row r="9" ht="15" customHeight="1">
      <c r="A9" s="42" t="inlineStr">
        <is>
          <t>PL610</t>
        </is>
      </c>
      <c r="B9" s="42" t="inlineStr">
        <is>
          <t>2026-01</t>
        </is>
      </c>
      <c r="C9" s="43" t="inlineStr">
        <is>
          <t>ที เค</t>
        </is>
      </c>
      <c r="D9" s="42" t="inlineStr">
        <is>
          <t>B2B อื่นๆ</t>
        </is>
      </c>
      <c r="E9" s="42" t="inlineStr">
        <is>
          <t>LKT. 2026-01 -PL610</t>
        </is>
      </c>
      <c r="F9" s="42" t="inlineStr">
        <is>
          <t>6 มกราคม 2026</t>
        </is>
      </c>
      <c r="G9" s="42" t="inlineStr">
        <is>
          <t>เสาไฟถนน</t>
        </is>
      </c>
      <c r="H9" s="44" t="inlineStr">
        <is>
          <t>Pole With Bracket 9M-T4-TR</t>
        </is>
      </c>
      <c r="I9" s="45" t="n">
        <v>1881012</v>
      </c>
      <c r="J9" s="45" t="n">
        <v>131670.84</v>
      </c>
      <c r="K9" s="45" t="n">
        <v>2012682.84</v>
      </c>
      <c r="L9" s="42" t="inlineStr">
        <is>
          <t>📞 ติดตาม-High</t>
        </is>
      </c>
      <c r="M9" s="42" t="inlineStr">
        <is>
          <t>สูง</t>
        </is>
      </c>
      <c r="N9" s="42" t="n">
        <v>1</v>
      </c>
      <c r="O9" s="42" t="inlineStr">
        <is>
          <t>—</t>
        </is>
      </c>
      <c r="P9" s="42" t="n"/>
      <c r="Q9" s="42" t="n"/>
      <c r="R9" s="42" t="n"/>
      <c r="S9" s="42" t="n"/>
    </row>
    <row r="10" ht="15" customHeight="1">
      <c r="A10" s="38" t="inlineStr">
        <is>
          <t>PL612</t>
        </is>
      </c>
      <c r="B10" s="38" t="inlineStr">
        <is>
          <t>2026-01</t>
        </is>
      </c>
      <c r="C10" s="39" t="inlineStr">
        <is>
          <t>สมบูรณ์อิเล็คทริค</t>
        </is>
      </c>
      <c r="D10" s="38" t="inlineStr">
        <is>
          <t>B2B อื่นๆ</t>
        </is>
      </c>
      <c r="E10" s="38" t="inlineStr">
        <is>
          <t>LKT. 2026-01 -PL612</t>
        </is>
      </c>
      <c r="F10" s="38" t="inlineStr">
        <is>
          <t>6 มกราคม 2026</t>
        </is>
      </c>
      <c r="G10" s="38" t="inlineStr">
        <is>
          <t>LED Streetlight</t>
        </is>
      </c>
      <c r="H10" s="40" t="inlineStr">
        <is>
          <t>BTFL-ZC03-400W/LED FLOODLIGHT 400W/6500K</t>
        </is>
      </c>
      <c r="I10" s="41" t="n">
        <v>453936</v>
      </c>
      <c r="J10" s="41" t="n">
        <v>31775.52</v>
      </c>
      <c r="K10" s="41" t="n">
        <v>485711.52</v>
      </c>
      <c r="L10" s="38" t="inlineStr">
        <is>
          <t>📋 ติดตาม</t>
        </is>
      </c>
      <c r="M10" s="38" t="inlineStr">
        <is>
          <t>กลาง</t>
        </is>
      </c>
      <c r="N10" s="38" t="n">
        <v>1</v>
      </c>
      <c r="O10" s="38" t="inlineStr">
        <is>
          <t>—</t>
        </is>
      </c>
      <c r="P10" s="38" t="n"/>
      <c r="Q10" s="38" t="n"/>
      <c r="R10" s="38" t="n"/>
      <c r="S10" s="38" t="n"/>
    </row>
    <row r="11" ht="15" customHeight="1">
      <c r="A11" s="46" t="inlineStr">
        <is>
          <t>PL614</t>
        </is>
      </c>
      <c r="B11" s="46" t="inlineStr">
        <is>
          <t>2026-01</t>
        </is>
      </c>
      <c r="C11" s="47" t="inlineStr">
        <is>
          <t>โปรทูสเปรช</t>
        </is>
      </c>
      <c r="D11" s="46" t="inlineStr">
        <is>
          <t>B2B อื่นๆ</t>
        </is>
      </c>
      <c r="E11" s="46" t="inlineStr">
        <is>
          <t>LKT. 2026-01 -PL614</t>
        </is>
      </c>
      <c r="F11" s="46" t="inlineStr">
        <is>
          <t>7 มกราคม 2026</t>
        </is>
      </c>
      <c r="G11" s="46" t="inlineStr">
        <is>
          <t>เสาไฟถนน</t>
        </is>
      </c>
      <c r="H11" s="48" t="inlineStr">
        <is>
          <t>Pole With Bracket 9M-T4-TR</t>
        </is>
      </c>
      <c r="I11" s="49" t="n">
        <v>191884</v>
      </c>
      <c r="J11" s="49" t="n">
        <v>13431.88</v>
      </c>
      <c r="K11" s="49" t="n">
        <v>205315.88</v>
      </c>
      <c r="L11" s="46" t="inlineStr">
        <is>
          <t>⚪ รอผล</t>
        </is>
      </c>
      <c r="M11" s="46" t="inlineStr">
        <is>
          <t>ต่ำ</t>
        </is>
      </c>
      <c r="N11" s="46" t="n">
        <v>1</v>
      </c>
      <c r="O11" s="46" t="inlineStr">
        <is>
          <t>—</t>
        </is>
      </c>
      <c r="P11" s="46" t="n"/>
      <c r="Q11" s="46" t="n"/>
      <c r="R11" s="46" t="n"/>
      <c r="S11" s="46" t="n"/>
    </row>
    <row r="12" ht="15" customHeight="1">
      <c r="A12" s="46" t="inlineStr">
        <is>
          <t>PL615</t>
        </is>
      </c>
      <c r="B12" s="46" t="inlineStr">
        <is>
          <t>2026-01</t>
        </is>
      </c>
      <c r="C12" s="47" t="inlineStr">
        <is>
          <t>อินโน ซิสเต็ม</t>
        </is>
      </c>
      <c r="D12" s="46" t="inlineStr">
        <is>
          <t>B2B อื่นๆ</t>
        </is>
      </c>
      <c r="E12" s="46" t="inlineStr">
        <is>
          <t>LKT. 2026-01 -PL615</t>
        </is>
      </c>
      <c r="F12" s="46" t="inlineStr">
        <is>
          <t>7 มกราคม 2026</t>
        </is>
      </c>
      <c r="G12" s="46" t="inlineStr">
        <is>
          <t>Electrical Accessories</t>
        </is>
      </c>
      <c r="H12" s="48" t="inlineStr">
        <is>
          <t>ชุด Breaker 1P 10A 230V 1 SET (Plate Aluminium)</t>
        </is>
      </c>
      <c r="I12" s="49" t="n">
        <v>22623.3</v>
      </c>
      <c r="J12" s="49" t="n">
        <v>1583.63</v>
      </c>
      <c r="K12" s="49" t="n">
        <v>24206.93</v>
      </c>
      <c r="L12" s="46" t="inlineStr">
        <is>
          <t>⚪ รอผล</t>
        </is>
      </c>
      <c r="M12" s="46" t="inlineStr">
        <is>
          <t>ต่ำ</t>
        </is>
      </c>
      <c r="N12" s="46" t="n">
        <v>1</v>
      </c>
      <c r="O12" s="46" t="inlineStr">
        <is>
          <t>—</t>
        </is>
      </c>
      <c r="P12" s="46" t="n"/>
      <c r="Q12" s="46" t="n"/>
      <c r="R12" s="46" t="n"/>
      <c r="S12" s="46" t="n"/>
    </row>
    <row r="13" ht="15" customHeight="1">
      <c r="A13" s="46" t="inlineStr">
        <is>
          <t>PL616</t>
        </is>
      </c>
      <c r="B13" s="46" t="inlineStr">
        <is>
          <t>2026-01</t>
        </is>
      </c>
      <c r="C13" s="47" t="inlineStr">
        <is>
          <t>วิ-หลี กรุ๊ป</t>
        </is>
      </c>
      <c r="D13" s="46" t="inlineStr">
        <is>
          <t>B2B อื่นๆ</t>
        </is>
      </c>
      <c r="E13" s="46" t="inlineStr">
        <is>
          <t>LKT. 2026-01 -PL616</t>
        </is>
      </c>
      <c r="F13" s="46" t="inlineStr">
        <is>
          <t>7 มกราคม 2026</t>
        </is>
      </c>
      <c r="G13" s="46" t="inlineStr">
        <is>
          <t>เสาไฟถนน</t>
        </is>
      </c>
      <c r="H13" s="48" t="inlineStr">
        <is>
          <t>Pole With Bracket 9M-T4-TR</t>
        </is>
      </c>
      <c r="I13" s="49" t="n">
        <v>94109.39999999999</v>
      </c>
      <c r="J13" s="49" t="n">
        <v>6587.66</v>
      </c>
      <c r="K13" s="49" t="n">
        <v>100697.06</v>
      </c>
      <c r="L13" s="46" t="inlineStr">
        <is>
          <t>⚪ รอผล</t>
        </is>
      </c>
      <c r="M13" s="46" t="inlineStr">
        <is>
          <t>ต่ำ</t>
        </is>
      </c>
      <c r="N13" s="46" t="n">
        <v>1</v>
      </c>
      <c r="O13" s="46" t="inlineStr">
        <is>
          <t>—</t>
        </is>
      </c>
      <c r="P13" s="46" t="n"/>
      <c r="Q13" s="46" t="n"/>
      <c r="R13" s="46" t="n"/>
      <c r="S13" s="46" t="n"/>
    </row>
    <row r="14" ht="15" customHeight="1">
      <c r="A14" s="46" t="inlineStr">
        <is>
          <t>PL617</t>
        </is>
      </c>
      <c r="B14" s="46" t="inlineStr">
        <is>
          <t>2026-01</t>
        </is>
      </c>
      <c r="C14" s="47" t="inlineStr">
        <is>
          <t>PT</t>
        </is>
      </c>
      <c r="D14" s="46" t="inlineStr">
        <is>
          <t>B2B อื่นๆ</t>
        </is>
      </c>
      <c r="E14" s="46" t="inlineStr">
        <is>
          <t>LKT. 2026-01 -PL609</t>
        </is>
      </c>
      <c r="F14" s="46" t="inlineStr">
        <is>
          <t>6 มกราคม 2026</t>
        </is>
      </c>
      <c r="G14" s="46" t="inlineStr">
        <is>
          <t>LED Streetlight</t>
        </is>
      </c>
      <c r="H14" s="48" t="inlineStr">
        <is>
          <t>LED Streetlight 150W 5700K 19,500lm CRI70 140D</t>
        </is>
      </c>
      <c r="I14" s="49" t="n">
        <v>102000</v>
      </c>
      <c r="J14" s="49" t="n">
        <v>7140</v>
      </c>
      <c r="K14" s="49" t="n">
        <v>109140</v>
      </c>
      <c r="L14" s="46" t="inlineStr">
        <is>
          <t>⚪ รอผล</t>
        </is>
      </c>
      <c r="M14" s="46" t="inlineStr">
        <is>
          <t>ต่ำ</t>
        </is>
      </c>
      <c r="N14" s="46" t="n">
        <v>1</v>
      </c>
      <c r="O14" s="46" t="inlineStr">
        <is>
          <t>—</t>
        </is>
      </c>
      <c r="P14" s="46" t="n"/>
      <c r="Q14" s="46" t="n"/>
      <c r="R14" s="46" t="n"/>
      <c r="S14" s="46" t="n"/>
    </row>
    <row r="15" ht="15" customHeight="1">
      <c r="A15" s="46" t="inlineStr">
        <is>
          <t>PL618</t>
        </is>
      </c>
      <c r="B15" s="46" t="inlineStr">
        <is>
          <t>2026-01</t>
        </is>
      </c>
      <c r="C15" s="47" t="inlineStr">
        <is>
          <t>วีระยุทธ</t>
        </is>
      </c>
      <c r="D15" s="46" t="inlineStr">
        <is>
          <t>B2B อื่นๆ</t>
        </is>
      </c>
      <c r="E15" s="46" t="inlineStr">
        <is>
          <t>LKT. 2026-01 -PL618</t>
        </is>
      </c>
      <c r="F15" s="46" t="inlineStr">
        <is>
          <t>7 มกราคม 2026</t>
        </is>
      </c>
      <c r="G15" s="46" t="inlineStr">
        <is>
          <t>เสาไฟถนน</t>
        </is>
      </c>
      <c r="H15" s="48" t="inlineStr">
        <is>
          <t>Pole With Bracket 6M-T4-TR</t>
        </is>
      </c>
      <c r="I15" s="49" t="n">
        <v>29654.8</v>
      </c>
      <c r="J15" s="49" t="n">
        <v>2075.84</v>
      </c>
      <c r="K15" s="49" t="n">
        <v>31730.64</v>
      </c>
      <c r="L15" s="46" t="inlineStr">
        <is>
          <t>⚪ รอผล</t>
        </is>
      </c>
      <c r="M15" s="46" t="inlineStr">
        <is>
          <t>ต่ำ</t>
        </is>
      </c>
      <c r="N15" s="46" t="n">
        <v>1</v>
      </c>
      <c r="O15" s="46" t="inlineStr">
        <is>
          <t>—</t>
        </is>
      </c>
      <c r="P15" s="46" t="n"/>
      <c r="Q15" s="46" t="n"/>
      <c r="R15" s="46" t="n"/>
      <c r="S15" s="46" t="n"/>
    </row>
    <row r="16" ht="15" customHeight="1">
      <c r="A16" s="42" t="inlineStr">
        <is>
          <t>PL619</t>
        </is>
      </c>
      <c r="B16" s="42" t="inlineStr">
        <is>
          <t>2026-01</t>
        </is>
      </c>
      <c r="C16" s="43" t="inlineStr">
        <is>
          <t>ทูพีเอส</t>
        </is>
      </c>
      <c r="D16" s="42" t="inlineStr">
        <is>
          <t>B2B อื่นๆ</t>
        </is>
      </c>
      <c r="E16" s="42" t="inlineStr">
        <is>
          <t>LKT. 2026-01 -PL609</t>
        </is>
      </c>
      <c r="F16" s="42" t="inlineStr">
        <is>
          <t>8 มกราคม 2026</t>
        </is>
      </c>
      <c r="G16" s="42" t="inlineStr">
        <is>
          <t>สายส่งไฟฟ้า</t>
        </is>
      </c>
      <c r="H16" s="44" t="inlineStr">
        <is>
          <t>เสาสายสงไฟฟา 115KV Single Circuit H20M</t>
        </is>
      </c>
      <c r="I16" s="45" t="n">
        <v>2444120</v>
      </c>
      <c r="J16" s="45" t="n">
        <v>171088.4</v>
      </c>
      <c r="K16" s="45" t="n">
        <v>2615208.4</v>
      </c>
      <c r="L16" s="42" t="inlineStr">
        <is>
          <t>📞 ติดตาม-High</t>
        </is>
      </c>
      <c r="M16" s="42" t="inlineStr">
        <is>
          <t>สูง</t>
        </is>
      </c>
      <c r="N16" s="42" t="n">
        <v>1</v>
      </c>
      <c r="O16" s="42" t="inlineStr">
        <is>
          <t>—</t>
        </is>
      </c>
      <c r="P16" s="42" t="n"/>
      <c r="Q16" s="42" t="n"/>
      <c r="R16" s="42" t="n"/>
      <c r="S16" s="42" t="n"/>
    </row>
    <row r="17" ht="15" customHeight="1">
      <c r="A17" s="42" t="inlineStr">
        <is>
          <t>PL620</t>
        </is>
      </c>
      <c r="B17" s="42" t="inlineStr">
        <is>
          <t>2026-01</t>
        </is>
      </c>
      <c r="C17" s="43" t="inlineStr">
        <is>
          <t>อินเตอร์ เอ็กซ์เพิร์ท  R03</t>
        </is>
      </c>
      <c r="D17" s="42" t="inlineStr">
        <is>
          <t>B2B อื่นๆ</t>
        </is>
      </c>
      <c r="E17" s="42" t="inlineStr">
        <is>
          <t>LKT. 2025-08 -PL337</t>
        </is>
      </c>
      <c r="F17" s="42" t="inlineStr">
        <is>
          <t>8 มกราคม 2026</t>
        </is>
      </c>
      <c r="G17" s="42" t="inlineStr">
        <is>
          <t>High Mast</t>
        </is>
      </c>
      <c r="H17" s="44" t="inlineStr">
        <is>
          <t>High Mast 15 M PCD550 M32 8 Hole + วงแหวน 6 โคม REV.3</t>
        </is>
      </c>
      <c r="I17" s="45" t="n">
        <v>1017041.6</v>
      </c>
      <c r="J17" s="45" t="n">
        <v>71192.91</v>
      </c>
      <c r="K17" s="45" t="n">
        <v>1088234.51</v>
      </c>
      <c r="L17" s="42" t="inlineStr">
        <is>
          <t>📞 ติดตาม-High</t>
        </is>
      </c>
      <c r="M17" s="42" t="inlineStr">
        <is>
          <t>สูง</t>
        </is>
      </c>
      <c r="N17" s="42" t="n">
        <v>1</v>
      </c>
      <c r="O17" s="42" t="inlineStr">
        <is>
          <t>—</t>
        </is>
      </c>
      <c r="P17" s="42" t="n"/>
      <c r="Q17" s="42" t="n"/>
      <c r="R17" s="42" t="n"/>
      <c r="S17" s="42" t="n"/>
    </row>
    <row r="18" ht="15" customHeight="1">
      <c r="A18" s="46" t="inlineStr">
        <is>
          <t>PL621</t>
        </is>
      </c>
      <c r="B18" s="46" t="inlineStr">
        <is>
          <t>2026-01</t>
        </is>
      </c>
      <c r="C18" s="47" t="inlineStr">
        <is>
          <t>บริษัท ทริลเลียนอินดัสตรีส์ จำกัด</t>
        </is>
      </c>
      <c r="D18" s="46" t="inlineStr">
        <is>
          <t>B2B บริษัท</t>
        </is>
      </c>
      <c r="E18" s="46" t="inlineStr">
        <is>
          <t>LKT. 2026-01 -PL609</t>
        </is>
      </c>
      <c r="F18" s="46" t="n"/>
      <c r="G18" s="46" t="inlineStr">
        <is>
          <t>เสาไฟถนน</t>
        </is>
      </c>
      <c r="H18" s="48" t="inlineStr">
        <is>
          <t>Post Top Pole 8M-T4-TR</t>
        </is>
      </c>
      <c r="I18" s="49" t="n">
        <v>115840</v>
      </c>
      <c r="J18" s="49" t="n">
        <v>8108.8</v>
      </c>
      <c r="K18" s="49" t="n">
        <v>123948.8</v>
      </c>
      <c r="L18" s="46" t="inlineStr">
        <is>
          <t>⚪ รอผล</t>
        </is>
      </c>
      <c r="M18" s="46" t="inlineStr">
        <is>
          <t>ต่ำ</t>
        </is>
      </c>
      <c r="N18" s="46" t="n">
        <v>1</v>
      </c>
      <c r="O18" s="46" t="inlineStr">
        <is>
          <t>—</t>
        </is>
      </c>
      <c r="P18" s="46" t="n"/>
      <c r="Q18" s="46" t="n"/>
      <c r="R18" s="46" t="n"/>
      <c r="S18" s="46" t="n"/>
    </row>
    <row r="19" ht="15" customHeight="1">
      <c r="A19" s="38" t="inlineStr">
        <is>
          <t>PL622</t>
        </is>
      </c>
      <c r="B19" s="38" t="inlineStr">
        <is>
          <t>2026-01</t>
        </is>
      </c>
      <c r="C19" s="39" t="inlineStr">
        <is>
          <t>อนุพงษ์</t>
        </is>
      </c>
      <c r="D19" s="38" t="inlineStr">
        <is>
          <t>B2B อื่นๆ</t>
        </is>
      </c>
      <c r="E19" s="38" t="inlineStr">
        <is>
          <t>LKT. 2026-01 -PL622</t>
        </is>
      </c>
      <c r="F19" s="38" t="n"/>
      <c r="G19" s="38" t="inlineStr">
        <is>
          <t>เสาไฟถนน</t>
        </is>
      </c>
      <c r="H19" s="40" t="inlineStr">
        <is>
          <t>Pole With Bracket 9M-T4-TR</t>
        </is>
      </c>
      <c r="I19" s="41" t="n">
        <v>722064</v>
      </c>
      <c r="J19" s="41" t="n">
        <v>50544.48</v>
      </c>
      <c r="K19" s="41" t="n">
        <v>772608.48</v>
      </c>
      <c r="L19" s="38" t="inlineStr">
        <is>
          <t>📋 ติดตาม</t>
        </is>
      </c>
      <c r="M19" s="38" t="inlineStr">
        <is>
          <t>กลาง</t>
        </is>
      </c>
      <c r="N19" s="38" t="n">
        <v>1</v>
      </c>
      <c r="O19" s="38" t="inlineStr">
        <is>
          <t>—</t>
        </is>
      </c>
      <c r="P19" s="38" t="n"/>
      <c r="Q19" s="38" t="n"/>
      <c r="R19" s="38" t="n"/>
      <c r="S19" s="38" t="n"/>
    </row>
    <row r="20" ht="15" customHeight="1">
      <c r="A20" s="46" t="inlineStr">
        <is>
          <t>PL623</t>
        </is>
      </c>
      <c r="B20" s="46" t="inlineStr">
        <is>
          <t>2026-01</t>
        </is>
      </c>
      <c r="C20" s="47" t="inlineStr">
        <is>
          <t>ไลท์ติ้ง โซลูชั่น</t>
        </is>
      </c>
      <c r="D20" s="46" t="inlineStr">
        <is>
          <t>B2B อื่นๆ</t>
        </is>
      </c>
      <c r="E20" s="46" t="inlineStr">
        <is>
          <t>LKT. 2026-01 -PL623</t>
        </is>
      </c>
      <c r="F20" s="46" t="n"/>
      <c r="G20" s="46" t="inlineStr">
        <is>
          <t>เสาไฟถนน</t>
        </is>
      </c>
      <c r="H20" s="48" t="inlineStr">
        <is>
          <t>Post Top Pole 8M-T4-TR</t>
        </is>
      </c>
      <c r="I20" s="49" t="n">
        <v>80289.44</v>
      </c>
      <c r="J20" s="49" t="n">
        <v>5620.26</v>
      </c>
      <c r="K20" s="49" t="n">
        <v>85909.7</v>
      </c>
      <c r="L20" s="46" t="inlineStr">
        <is>
          <t>⚪ รอผล</t>
        </is>
      </c>
      <c r="M20" s="46" t="inlineStr">
        <is>
          <t>ต่ำ</t>
        </is>
      </c>
      <c r="N20" s="46" t="n">
        <v>1</v>
      </c>
      <c r="O20" s="46" t="inlineStr">
        <is>
          <t>—</t>
        </is>
      </c>
      <c r="P20" s="46" t="n"/>
      <c r="Q20" s="46" t="n"/>
      <c r="R20" s="46" t="n"/>
      <c r="S20" s="46" t="n"/>
    </row>
    <row r="21" ht="15" customHeight="1">
      <c r="A21" s="46" t="inlineStr">
        <is>
          <t>PL624</t>
        </is>
      </c>
      <c r="B21" s="46" t="inlineStr">
        <is>
          <t>2026-01</t>
        </is>
      </c>
      <c r="C21" s="47" t="inlineStr">
        <is>
          <t>เค บี เอ็ม</t>
        </is>
      </c>
      <c r="D21" s="46" t="inlineStr">
        <is>
          <t>B2B อื่นๆ</t>
        </is>
      </c>
      <c r="E21" s="46" t="inlineStr">
        <is>
          <t>LKT. 2026-01 -PL624</t>
        </is>
      </c>
      <c r="F21" s="46" t="n"/>
      <c r="G21" s="46" t="inlineStr">
        <is>
          <t>เสาไฟถนน</t>
        </is>
      </c>
      <c r="H21" s="48" t="inlineStr">
        <is>
          <t>ชุดวายริ่งสายไฟเขา 6 ดวงโคม</t>
        </is>
      </c>
      <c r="I21" s="49" t="n">
        <v>145608.4</v>
      </c>
      <c r="J21" s="49" t="n">
        <v>10192.59</v>
      </c>
      <c r="K21" s="49" t="n">
        <v>155800.99</v>
      </c>
      <c r="L21" s="46" t="inlineStr">
        <is>
          <t>⚪ รอผล</t>
        </is>
      </c>
      <c r="M21" s="46" t="inlineStr">
        <is>
          <t>ต่ำ</t>
        </is>
      </c>
      <c r="N21" s="46" t="n">
        <v>1</v>
      </c>
      <c r="O21" s="46" t="inlineStr">
        <is>
          <t>อปท. Supply</t>
        </is>
      </c>
      <c r="P21" s="46" t="n"/>
      <c r="Q21" s="46" t="n"/>
      <c r="R21" s="46" t="n"/>
      <c r="S21" s="46" t="n"/>
    </row>
    <row r="22" ht="15" customHeight="1">
      <c r="A22" s="50" t="inlineStr">
        <is>
          <t>PL625</t>
        </is>
      </c>
      <c r="B22" s="50" t="inlineStr">
        <is>
          <t>2026-01</t>
        </is>
      </c>
      <c r="C22" s="51" t="inlineStr">
        <is>
          <t>สุรัตน์</t>
        </is>
      </c>
      <c r="D22" s="50" t="inlineStr">
        <is>
          <t>B2B อื่นๆ</t>
        </is>
      </c>
      <c r="E22" s="50" t="inlineStr">
        <is>
          <t>LKT. 2026-01 -PL625</t>
        </is>
      </c>
      <c r="F22" s="50" t="n"/>
      <c r="G22" s="50" t="inlineStr">
        <is>
          <t>High Mast</t>
        </is>
      </c>
      <c r="H22" s="52" t="inlineStr">
        <is>
          <t>High mast Pole 20 M วงแหวน 8 โคม เหล็ก 4.5 มม.</t>
        </is>
      </c>
      <c r="I22" s="53" t="n">
        <v>6904195</v>
      </c>
      <c r="J22" s="53" t="n">
        <v>483293.65</v>
      </c>
      <c r="K22" s="53" t="n">
        <v>7387488.65</v>
      </c>
      <c r="L22" s="50" t="inlineStr">
        <is>
          <t>🔥 ร้อน</t>
        </is>
      </c>
      <c r="M22" s="50" t="inlineStr">
        <is>
          <t>สูงมาก</t>
        </is>
      </c>
      <c r="N22" s="50" t="n">
        <v>1</v>
      </c>
      <c r="O22" s="50" t="inlineStr">
        <is>
          <t>—</t>
        </is>
      </c>
      <c r="P22" s="50" t="n"/>
      <c r="Q22" s="50" t="n"/>
      <c r="R22" s="50" t="n"/>
      <c r="S22" s="50" t="n"/>
    </row>
    <row r="23" ht="15" customHeight="1">
      <c r="A23" s="46" t="inlineStr">
        <is>
          <t>PL627</t>
        </is>
      </c>
      <c r="B23" s="46" t="inlineStr">
        <is>
          <t>2026-01</t>
        </is>
      </c>
      <c r="C23" s="47" t="inlineStr">
        <is>
          <t>บจก.มั่นใจ ดีเวลลอปเมนท์</t>
        </is>
      </c>
      <c r="D23" s="46" t="inlineStr">
        <is>
          <t>B2B อื่นๆ</t>
        </is>
      </c>
      <c r="E23" s="46" t="inlineStr">
        <is>
          <t>LKT. 2026-01 -PL627</t>
        </is>
      </c>
      <c r="F23" s="46" t="n"/>
      <c r="G23" s="46" t="inlineStr">
        <is>
          <t>อื่นๆ</t>
        </is>
      </c>
      <c r="H23" s="48" t="inlineStr">
        <is>
          <t>อื่นๆ</t>
        </is>
      </c>
      <c r="I23" s="49" t="n">
        <v>16350</v>
      </c>
      <c r="J23" s="49" t="n">
        <v>1144.5</v>
      </c>
      <c r="K23" s="49" t="n">
        <v>17494.5</v>
      </c>
      <c r="L23" s="46" t="inlineStr">
        <is>
          <t>⚪ รอผล</t>
        </is>
      </c>
      <c r="M23" s="46" t="inlineStr">
        <is>
          <t>ต่ำ</t>
        </is>
      </c>
      <c r="N23" s="46" t="n">
        <v>0</v>
      </c>
      <c r="O23" s="46" t="inlineStr">
        <is>
          <t>—</t>
        </is>
      </c>
      <c r="P23" s="46" t="n"/>
      <c r="Q23" s="46" t="n"/>
      <c r="R23" s="46" t="n"/>
      <c r="S23" s="46" t="n"/>
    </row>
    <row r="24" ht="15" customHeight="1">
      <c r="A24" s="42" t="inlineStr">
        <is>
          <t>PL628</t>
        </is>
      </c>
      <c r="B24" s="42" t="inlineStr">
        <is>
          <t>2026-01</t>
        </is>
      </c>
      <c r="C24" s="43" t="inlineStr">
        <is>
          <t>ธนาภา เทคโนโลยี่</t>
        </is>
      </c>
      <c r="D24" s="42" t="inlineStr">
        <is>
          <t>B2B อื่นๆ</t>
        </is>
      </c>
      <c r="E24" s="42" t="inlineStr">
        <is>
          <t>LKT. 2026-01 -PL628</t>
        </is>
      </c>
      <c r="F24" s="42" t="n"/>
      <c r="G24" s="42" t="inlineStr">
        <is>
          <t>อื่นๆ</t>
        </is>
      </c>
      <c r="H24" s="44" t="inlineStr">
        <is>
          <t>อื่นๆ</t>
        </is>
      </c>
      <c r="I24" s="45" t="n">
        <v>1860800</v>
      </c>
      <c r="J24" s="45" t="n">
        <v>130256</v>
      </c>
      <c r="K24" s="45" t="n">
        <v>1991056</v>
      </c>
      <c r="L24" s="42" t="inlineStr">
        <is>
          <t>📞 ติดตาม-High</t>
        </is>
      </c>
      <c r="M24" s="42" t="inlineStr">
        <is>
          <t>สูง</t>
        </is>
      </c>
      <c r="N24" s="42" t="n">
        <v>0</v>
      </c>
      <c r="O24" s="42" t="inlineStr">
        <is>
          <t>—</t>
        </is>
      </c>
      <c r="P24" s="42" t="n"/>
      <c r="Q24" s="42" t="n"/>
      <c r="R24" s="42" t="n"/>
      <c r="S24" s="42" t="n"/>
    </row>
    <row r="25" ht="15" customHeight="1">
      <c r="A25" s="46" t="inlineStr">
        <is>
          <t>PL629</t>
        </is>
      </c>
      <c r="B25" s="46" t="inlineStr">
        <is>
          <t>2026-01</t>
        </is>
      </c>
      <c r="C25" s="47" t="inlineStr">
        <is>
          <t>นราภรณ์</t>
        </is>
      </c>
      <c r="D25" s="46" t="inlineStr">
        <is>
          <t>B2B อื่นๆ</t>
        </is>
      </c>
      <c r="E25" s="46" t="inlineStr">
        <is>
          <t>LKT. 2026-01 -PL629</t>
        </is>
      </c>
      <c r="F25" s="46" t="n"/>
      <c r="G25" s="46" t="inlineStr">
        <is>
          <t>เสาไฟถนน</t>
        </is>
      </c>
      <c r="H25" s="48" t="inlineStr">
        <is>
          <t>Post Top Pole 8M-T4-TR</t>
        </is>
      </c>
      <c r="I25" s="49" t="n">
        <v>171083.5</v>
      </c>
      <c r="J25" s="49" t="n">
        <v>11975.85</v>
      </c>
      <c r="K25" s="49" t="n">
        <v>183059.35</v>
      </c>
      <c r="L25" s="46" t="inlineStr">
        <is>
          <t>⚪ รอผล</t>
        </is>
      </c>
      <c r="M25" s="46" t="inlineStr">
        <is>
          <t>ต่ำ</t>
        </is>
      </c>
      <c r="N25" s="46" t="n">
        <v>1</v>
      </c>
      <c r="O25" s="46" t="inlineStr">
        <is>
          <t>—</t>
        </is>
      </c>
      <c r="P25" s="46" t="n"/>
      <c r="Q25" s="46" t="n"/>
      <c r="R25" s="46" t="n"/>
      <c r="S25" s="46" t="n"/>
    </row>
    <row r="26" ht="15" customHeight="1">
      <c r="A26" s="46" t="inlineStr">
        <is>
          <t>PL630</t>
        </is>
      </c>
      <c r="B26" s="46" t="inlineStr">
        <is>
          <t>2026-01</t>
        </is>
      </c>
      <c r="C26" s="47" t="inlineStr">
        <is>
          <t>ทริคอิเล็คทริค</t>
        </is>
      </c>
      <c r="D26" s="46" t="inlineStr">
        <is>
          <t>B2B อื่นๆ</t>
        </is>
      </c>
      <c r="E26" s="46" t="inlineStr">
        <is>
          <t>LKT. 2026-01 -PL630</t>
        </is>
      </c>
      <c r="F26" s="46" t="inlineStr">
        <is>
          <t>12 มกราคม 2025</t>
        </is>
      </c>
      <c r="G26" s="46" t="inlineStr">
        <is>
          <t>อื่นๆ</t>
        </is>
      </c>
      <c r="H26" s="48" t="inlineStr">
        <is>
          <t>อื่นๆ</t>
        </is>
      </c>
      <c r="I26" s="49" t="n">
        <v>100038.4</v>
      </c>
      <c r="J26" s="49" t="n">
        <v>7002.69</v>
      </c>
      <c r="K26" s="49" t="n">
        <v>107041.09</v>
      </c>
      <c r="L26" s="46" t="inlineStr">
        <is>
          <t>⚪ รอผล</t>
        </is>
      </c>
      <c r="M26" s="46" t="inlineStr">
        <is>
          <t>ต่ำ</t>
        </is>
      </c>
      <c r="N26" s="46" t="n">
        <v>0</v>
      </c>
      <c r="O26" s="46" t="inlineStr">
        <is>
          <t>—</t>
        </is>
      </c>
      <c r="P26" s="46" t="n"/>
      <c r="Q26" s="46" t="n"/>
      <c r="R26" s="46" t="n"/>
      <c r="S26" s="46" t="n"/>
    </row>
    <row r="27" ht="15" customHeight="1">
      <c r="A27" s="46" t="inlineStr">
        <is>
          <t>PL631</t>
        </is>
      </c>
      <c r="B27" s="46" t="inlineStr">
        <is>
          <t>2026-01</t>
        </is>
      </c>
      <c r="C27" s="47" t="inlineStr">
        <is>
          <t>พี เอ็นริช</t>
        </is>
      </c>
      <c r="D27" s="46" t="inlineStr">
        <is>
          <t>B2B อื่นๆ</t>
        </is>
      </c>
      <c r="E27" s="46" t="inlineStr">
        <is>
          <t>LKT. 2026-01 -PL631</t>
        </is>
      </c>
      <c r="F27" s="46" t="n"/>
      <c r="G27" s="46" t="inlineStr">
        <is>
          <t>เสาไฟถนน</t>
        </is>
      </c>
      <c r="H27" s="48" t="inlineStr">
        <is>
          <t>Post Top Pole 8M-T4-TR</t>
        </is>
      </c>
      <c r="I27" s="49" t="n">
        <v>44688</v>
      </c>
      <c r="J27" s="49" t="n">
        <v>3128.16</v>
      </c>
      <c r="K27" s="49" t="n">
        <v>47816.16</v>
      </c>
      <c r="L27" s="46" t="inlineStr">
        <is>
          <t>⚪ รอผล</t>
        </is>
      </c>
      <c r="M27" s="46" t="inlineStr">
        <is>
          <t>ต่ำ</t>
        </is>
      </c>
      <c r="N27" s="46" t="n">
        <v>1</v>
      </c>
      <c r="O27" s="46" t="inlineStr">
        <is>
          <t>—</t>
        </is>
      </c>
      <c r="P27" s="46" t="n"/>
      <c r="Q27" s="46" t="n"/>
      <c r="R27" s="46" t="n"/>
      <c r="S27" s="46" t="n"/>
    </row>
    <row r="28" ht="15" customHeight="1">
      <c r="A28" s="46" t="inlineStr">
        <is>
          <t>PL632</t>
        </is>
      </c>
      <c r="B28" s="46" t="inlineStr">
        <is>
          <t>2026-01</t>
        </is>
      </c>
      <c r="C28" s="47" t="inlineStr">
        <is>
          <t>อินโน ซิสเต็ม</t>
        </is>
      </c>
      <c r="D28" s="46" t="inlineStr">
        <is>
          <t>B2B อื่นๆ</t>
        </is>
      </c>
      <c r="E28" s="46" t="inlineStr">
        <is>
          <t>LKT. 2026-01 -PL632</t>
        </is>
      </c>
      <c r="F28" s="46" t="inlineStr">
        <is>
          <t>14 มกราคม 2026</t>
        </is>
      </c>
      <c r="G28" s="46" t="inlineStr">
        <is>
          <t>Electrical Accessories</t>
        </is>
      </c>
      <c r="H28" s="48" t="inlineStr">
        <is>
          <t>ชุดBreaker 1P, 10A, 200-240V. 1Set Plate Aluminium</t>
        </is>
      </c>
      <c r="I28" s="49" t="n">
        <v>16059.75</v>
      </c>
      <c r="J28" s="49" t="n">
        <v>1124.18</v>
      </c>
      <c r="K28" s="49" t="n">
        <v>17183.93</v>
      </c>
      <c r="L28" s="46" t="inlineStr">
        <is>
          <t>⚪ รอผล</t>
        </is>
      </c>
      <c r="M28" s="46" t="inlineStr">
        <is>
          <t>ต่ำ</t>
        </is>
      </c>
      <c r="N28" s="46" t="n">
        <v>1</v>
      </c>
      <c r="O28" s="46" t="inlineStr">
        <is>
          <t>—</t>
        </is>
      </c>
      <c r="P28" s="46" t="n"/>
      <c r="Q28" s="46" t="n"/>
      <c r="R28" s="46" t="n"/>
      <c r="S28" s="46" t="n"/>
    </row>
    <row r="29" ht="15" customHeight="1">
      <c r="A29" s="38" t="inlineStr">
        <is>
          <t>PL633</t>
        </is>
      </c>
      <c r="B29" s="38" t="inlineStr">
        <is>
          <t>2026-01</t>
        </is>
      </c>
      <c r="C29" s="39" t="inlineStr">
        <is>
          <t>พรบันดาลโชค</t>
        </is>
      </c>
      <c r="D29" s="38" t="inlineStr">
        <is>
          <t>B2B อื่นๆ</t>
        </is>
      </c>
      <c r="E29" s="38" t="inlineStr">
        <is>
          <t>LKT. 2026-01 -PL633</t>
        </is>
      </c>
      <c r="F29" s="38" t="n"/>
      <c r="G29" s="38" t="inlineStr">
        <is>
          <t>High Mast</t>
        </is>
      </c>
      <c r="H29" s="40" t="inlineStr">
        <is>
          <t>High mast Pole 20 M วงแหวน 8 โคม เหล็ก 4.5 มม.</t>
        </is>
      </c>
      <c r="I29" s="41" t="n">
        <v>545899.2</v>
      </c>
      <c r="J29" s="41" t="n">
        <v>38212.94</v>
      </c>
      <c r="K29" s="41" t="n">
        <v>584112.14</v>
      </c>
      <c r="L29" s="38" t="inlineStr">
        <is>
          <t>📋 ติดตาม</t>
        </is>
      </c>
      <c r="M29" s="38" t="inlineStr">
        <is>
          <t>กลาง</t>
        </is>
      </c>
      <c r="N29" s="38" t="n">
        <v>1</v>
      </c>
      <c r="O29" s="38" t="inlineStr">
        <is>
          <t>—</t>
        </is>
      </c>
      <c r="P29" s="38" t="n"/>
      <c r="Q29" s="38" t="n"/>
      <c r="R29" s="38" t="n"/>
      <c r="S29" s="38" t="n"/>
    </row>
    <row r="30" ht="15" customHeight="1">
      <c r="A30" s="38" t="inlineStr">
        <is>
          <t>PL634</t>
        </is>
      </c>
      <c r="B30" s="38" t="inlineStr">
        <is>
          <t>2026-01</t>
        </is>
      </c>
      <c r="C30" s="39" t="inlineStr">
        <is>
          <t>ไอซีซี</t>
        </is>
      </c>
      <c r="D30" s="38" t="inlineStr">
        <is>
          <t>B2B อื่นๆ</t>
        </is>
      </c>
      <c r="E30" s="38" t="inlineStr">
        <is>
          <t>LKT. 2026-01 -PL634</t>
        </is>
      </c>
      <c r="F30" s="38" t="n"/>
      <c r="G30" s="38" t="inlineStr">
        <is>
          <t>High Mast</t>
        </is>
      </c>
      <c r="H30" s="40" t="inlineStr">
        <is>
          <t>High mast Pole 25 M วงแหวน 8 โคม เหล็ก 6.0,4.5 มม.</t>
        </is>
      </c>
      <c r="I30" s="41" t="n">
        <v>432140.8</v>
      </c>
      <c r="J30" s="41" t="n">
        <v>30249.86</v>
      </c>
      <c r="K30" s="41" t="n">
        <v>462390.66</v>
      </c>
      <c r="L30" s="38" t="inlineStr">
        <is>
          <t>📋 ติดตาม</t>
        </is>
      </c>
      <c r="M30" s="38" t="inlineStr">
        <is>
          <t>กลาง</t>
        </is>
      </c>
      <c r="N30" s="38" t="n">
        <v>1</v>
      </c>
      <c r="O30" s="38" t="inlineStr">
        <is>
          <t>—</t>
        </is>
      </c>
      <c r="P30" s="38" t="n"/>
      <c r="Q30" s="38" t="n"/>
      <c r="R30" s="38" t="n"/>
      <c r="S30" s="38" t="n"/>
    </row>
    <row r="31" ht="15" customHeight="1">
      <c r="A31" s="46" t="inlineStr">
        <is>
          <t>PL635</t>
        </is>
      </c>
      <c r="B31" s="46" t="inlineStr">
        <is>
          <t>2026-01</t>
        </is>
      </c>
      <c r="C31" s="47" t="inlineStr">
        <is>
          <t>ไลท์ติ้ง โซลูชั่น</t>
        </is>
      </c>
      <c r="D31" s="46" t="inlineStr">
        <is>
          <t>B2B อื่นๆ</t>
        </is>
      </c>
      <c r="E31" s="46" t="inlineStr">
        <is>
          <t>LKT. 2026-01 -PL635</t>
        </is>
      </c>
      <c r="F31" s="46" t="inlineStr">
        <is>
          <t>15 มกราคม 2026</t>
        </is>
      </c>
      <c r="G31" s="46" t="inlineStr">
        <is>
          <t>เสาไฟถนน</t>
        </is>
      </c>
      <c r="H31" s="48" t="inlineStr">
        <is>
          <t>post top 8M+Arm Bracket 2โคม</t>
        </is>
      </c>
      <c r="I31" s="49" t="n">
        <v>113905</v>
      </c>
      <c r="J31" s="49" t="n">
        <v>7973.35</v>
      </c>
      <c r="K31" s="49" t="n">
        <v>121878.35</v>
      </c>
      <c r="L31" s="46" t="inlineStr">
        <is>
          <t>⚪ รอผล</t>
        </is>
      </c>
      <c r="M31" s="46" t="inlineStr">
        <is>
          <t>ต่ำ</t>
        </is>
      </c>
      <c r="N31" s="46" t="n">
        <v>1</v>
      </c>
      <c r="O31" s="46" t="inlineStr">
        <is>
          <t>—</t>
        </is>
      </c>
      <c r="P31" s="46" t="n"/>
      <c r="Q31" s="46" t="n"/>
      <c r="R31" s="46" t="n"/>
      <c r="S31" s="46" t="n"/>
    </row>
    <row r="32" ht="15" customHeight="1">
      <c r="A32" s="38" t="inlineStr">
        <is>
          <t>PL636</t>
        </is>
      </c>
      <c r="B32" s="38" t="inlineStr">
        <is>
          <t>2026-01</t>
        </is>
      </c>
      <c r="C32" s="39" t="inlineStr">
        <is>
          <t>ท็อปเบสท์ แมนูแฟคเจอริ่ง</t>
        </is>
      </c>
      <c r="D32" s="38" t="inlineStr">
        <is>
          <t>B2B อื่นๆ</t>
        </is>
      </c>
      <c r="E32" s="38" t="inlineStr">
        <is>
          <t>LKT. 2026-01 -PL636</t>
        </is>
      </c>
      <c r="F32" s="38" t="n"/>
      <c r="G32" s="38" t="inlineStr">
        <is>
          <t>เสาไฟถนน</t>
        </is>
      </c>
      <c r="H32" s="40" t="inlineStr">
        <is>
          <t>Pole With Bracket 6M-T4-TR</t>
        </is>
      </c>
      <c r="I32" s="41" t="n">
        <v>444072.3</v>
      </c>
      <c r="J32" s="41" t="n">
        <v>31085.06</v>
      </c>
      <c r="K32" s="41" t="n">
        <v>475157.36</v>
      </c>
      <c r="L32" s="38" t="inlineStr">
        <is>
          <t>📋 ติดตาม</t>
        </is>
      </c>
      <c r="M32" s="38" t="inlineStr">
        <is>
          <t>กลาง</t>
        </is>
      </c>
      <c r="N32" s="38" t="n">
        <v>1</v>
      </c>
      <c r="O32" s="38" t="inlineStr">
        <is>
          <t>—</t>
        </is>
      </c>
      <c r="P32" s="38" t="n"/>
      <c r="Q32" s="38" t="n"/>
      <c r="R32" s="38" t="n"/>
      <c r="S32" s="38" t="n"/>
    </row>
    <row r="33" ht="15" customHeight="1">
      <c r="A33" s="50" t="inlineStr">
        <is>
          <t>PL637</t>
        </is>
      </c>
      <c r="B33" s="50" t="inlineStr">
        <is>
          <t>2026-01</t>
        </is>
      </c>
      <c r="C33" s="51" t="inlineStr">
        <is>
          <t>บริษัท เดอะวิน เทเลคอม จำกัด</t>
        </is>
      </c>
      <c r="D33" s="50" t="inlineStr">
        <is>
          <t>B2B บริษัท</t>
        </is>
      </c>
      <c r="E33" s="50" t="inlineStr">
        <is>
          <t>LKT. 2026-01-PL637</t>
        </is>
      </c>
      <c r="F33" s="50" t="inlineStr">
        <is>
          <t>15 มกราคม 2026</t>
        </is>
      </c>
      <c r="G33" s="50" t="inlineStr">
        <is>
          <t>เสาไฟถนน</t>
        </is>
      </c>
      <c r="H33" s="52" t="inlineStr">
        <is>
          <t>เสากลมตรง 4'' H4M. HDG+ทําสีดําเงา</t>
        </is>
      </c>
      <c r="I33" s="53" t="n">
        <v>3044050</v>
      </c>
      <c r="J33" s="53" t="n">
        <v>213083.5</v>
      </c>
      <c r="K33" s="53" t="n">
        <v>3257133.5</v>
      </c>
      <c r="L33" s="50" t="inlineStr">
        <is>
          <t>🔥 ร้อน</t>
        </is>
      </c>
      <c r="M33" s="50" t="inlineStr">
        <is>
          <t>สูงมาก</t>
        </is>
      </c>
      <c r="N33" s="50" t="n">
        <v>1</v>
      </c>
      <c r="O33" s="50" t="inlineStr">
        <is>
          <t>—</t>
        </is>
      </c>
      <c r="P33" s="50" t="n"/>
      <c r="Q33" s="50" t="n"/>
      <c r="R33" s="50" t="n"/>
      <c r="S33" s="50" t="n"/>
    </row>
    <row r="34" ht="15" customHeight="1">
      <c r="A34" s="38" t="inlineStr">
        <is>
          <t>PL638</t>
        </is>
      </c>
      <c r="B34" s="38" t="inlineStr">
        <is>
          <t>2026-01</t>
        </is>
      </c>
      <c r="C34" s="39" t="inlineStr">
        <is>
          <t>บริษัท เอส.พี.เอส.ทราฟฟิค ไลน์ จำกัด</t>
        </is>
      </c>
      <c r="D34" s="38" t="inlineStr">
        <is>
          <t>B2B บริษัท</t>
        </is>
      </c>
      <c r="E34" s="38" t="inlineStr">
        <is>
          <t>LKT. 2026-01-PL638</t>
        </is>
      </c>
      <c r="F34" s="38" t="inlineStr">
        <is>
          <t>15 มกราคม 2026</t>
        </is>
      </c>
      <c r="G34" s="38" t="inlineStr">
        <is>
          <t>อื่นๆ</t>
        </is>
      </c>
      <c r="H34" s="40" t="inlineStr">
        <is>
          <t>อื่นๆ</t>
        </is>
      </c>
      <c r="I34" s="41" t="n">
        <v>571830</v>
      </c>
      <c r="J34" s="41" t="n">
        <v>40028.1</v>
      </c>
      <c r="K34" s="41" t="n">
        <v>611858.1</v>
      </c>
      <c r="L34" s="38" t="inlineStr">
        <is>
          <t>📋 ติดตาม</t>
        </is>
      </c>
      <c r="M34" s="38" t="inlineStr">
        <is>
          <t>กลาง</t>
        </is>
      </c>
      <c r="N34" s="38" t="n">
        <v>0</v>
      </c>
      <c r="O34" s="38" t="inlineStr">
        <is>
          <t>—</t>
        </is>
      </c>
      <c r="P34" s="38" t="n"/>
      <c r="Q34" s="38" t="n"/>
      <c r="R34" s="38" t="n"/>
      <c r="S34" s="38" t="n"/>
    </row>
    <row r="35" ht="15" customHeight="1">
      <c r="A35" s="38" t="inlineStr">
        <is>
          <t>PL639</t>
        </is>
      </c>
      <c r="B35" s="38" t="inlineStr">
        <is>
          <t>2026-01</t>
        </is>
      </c>
      <c r="C35" s="39" t="inlineStr">
        <is>
          <t>บริษัท โกลว์ พาวเวอร์ เทคโนโลยี จำกัด-EGATJOB1 R01</t>
        </is>
      </c>
      <c r="D35" s="38" t="inlineStr">
        <is>
          <t>B2B บริษัท</t>
        </is>
      </c>
      <c r="E35" s="38" t="inlineStr">
        <is>
          <t>LKT. 2026-01-PL638</t>
        </is>
      </c>
      <c r="F35" s="38" t="inlineStr">
        <is>
          <t>15 มกราคม 2026</t>
        </is>
      </c>
      <c r="G35" s="38" t="inlineStr">
        <is>
          <t>เสาไฟถนน</t>
        </is>
      </c>
      <c r="H35" s="40" t="inlineStr">
        <is>
          <t>Pole With Bracket 5M-T4-TR</t>
        </is>
      </c>
      <c r="I35" s="41" t="n">
        <v>405150</v>
      </c>
      <c r="J35" s="41" t="n">
        <v>28360.5</v>
      </c>
      <c r="K35" s="41" t="n">
        <v>433510.5</v>
      </c>
      <c r="L35" s="38" t="inlineStr">
        <is>
          <t>📋 ติดตาม</t>
        </is>
      </c>
      <c r="M35" s="38" t="inlineStr">
        <is>
          <t>กลาง</t>
        </is>
      </c>
      <c r="N35" s="38" t="n">
        <v>1</v>
      </c>
      <c r="O35" s="38" t="inlineStr">
        <is>
          <t>EGAT</t>
        </is>
      </c>
      <c r="P35" s="38" t="n"/>
      <c r="Q35" s="38" t="n"/>
      <c r="R35" s="38" t="n"/>
      <c r="S35" s="38" t="n"/>
    </row>
    <row r="36" ht="15" customHeight="1">
      <c r="A36" s="38" t="inlineStr">
        <is>
          <t>PL640</t>
        </is>
      </c>
      <c r="B36" s="38" t="inlineStr">
        <is>
          <t>2026-01</t>
        </is>
      </c>
      <c r="C36" s="39" t="inlineStr">
        <is>
          <t>บริษัท โกลว์ พาวเวอร์ เทคโนโลยี จำกัด-EGATJOB2 R2</t>
        </is>
      </c>
      <c r="D36" s="38" t="inlineStr">
        <is>
          <t>B2B บริษัท</t>
        </is>
      </c>
      <c r="E36" s="38" t="inlineStr">
        <is>
          <t>LKT. 2026-01-PL640</t>
        </is>
      </c>
      <c r="F36" s="38" t="inlineStr">
        <is>
          <t>18 มกราคม 2026</t>
        </is>
      </c>
      <c r="G36" s="38" t="inlineStr">
        <is>
          <t>อื่นๆ</t>
        </is>
      </c>
      <c r="H36" s="40" t="inlineStr">
        <is>
          <t>อื่นๆ</t>
        </is>
      </c>
      <c r="I36" s="41" t="n">
        <v>487450</v>
      </c>
      <c r="J36" s="41" t="n">
        <v>34121.5</v>
      </c>
      <c r="K36" s="41" t="n">
        <v>521571.5</v>
      </c>
      <c r="L36" s="38" t="inlineStr">
        <is>
          <t>📋 ติดตาม</t>
        </is>
      </c>
      <c r="M36" s="38" t="inlineStr">
        <is>
          <t>กลาง</t>
        </is>
      </c>
      <c r="N36" s="38" t="n">
        <v>0</v>
      </c>
      <c r="O36" s="38" t="inlineStr">
        <is>
          <t>EGAT</t>
        </is>
      </c>
      <c r="P36" s="38" t="n"/>
      <c r="Q36" s="38" t="n"/>
      <c r="R36" s="38" t="n"/>
      <c r="S36" s="38" t="n"/>
    </row>
    <row r="37" ht="15" customHeight="1">
      <c r="A37" s="38" t="inlineStr">
        <is>
          <t>PL641</t>
        </is>
      </c>
      <c r="B37" s="38" t="inlineStr">
        <is>
          <t>2026-01</t>
        </is>
      </c>
      <c r="C37" s="39" t="inlineStr">
        <is>
          <t>บริษัท เอ็นเทค แมเนจเม้นท์ จำกัด (สำนักงานใหญ่)</t>
        </is>
      </c>
      <c r="D37" s="38" t="inlineStr">
        <is>
          <t>B2G ภาครัฐ</t>
        </is>
      </c>
      <c r="E37" s="38" t="inlineStr">
        <is>
          <t>LKT. 2026-01-PL641</t>
        </is>
      </c>
      <c r="F37" s="38" t="inlineStr">
        <is>
          <t>18 มกราคม 2026</t>
        </is>
      </c>
      <c r="G37" s="38" t="inlineStr">
        <is>
          <t>อื่นๆ</t>
        </is>
      </c>
      <c r="H37" s="40" t="inlineStr">
        <is>
          <t>อื่นๆ</t>
        </is>
      </c>
      <c r="I37" s="41" t="n">
        <v>649600</v>
      </c>
      <c r="J37" s="41" t="n">
        <v>45472</v>
      </c>
      <c r="K37" s="41" t="n">
        <v>695072</v>
      </c>
      <c r="L37" s="38" t="inlineStr">
        <is>
          <t>📋 ติดตาม</t>
        </is>
      </c>
      <c r="M37" s="38" t="inlineStr">
        <is>
          <t>กลาง</t>
        </is>
      </c>
      <c r="N37" s="38" t="n">
        <v>0</v>
      </c>
      <c r="O37" s="38" t="inlineStr">
        <is>
          <t>—</t>
        </is>
      </c>
      <c r="P37" s="38" t="n"/>
      <c r="Q37" s="38" t="n"/>
      <c r="R37" s="38" t="n"/>
      <c r="S37" s="38" t="n"/>
    </row>
    <row r="38" ht="15" customHeight="1">
      <c r="A38" s="46" t="inlineStr">
        <is>
          <t>PL642</t>
        </is>
      </c>
      <c r="B38" s="46" t="inlineStr">
        <is>
          <t>2026-01</t>
        </is>
      </c>
      <c r="C38" s="47" t="inlineStr">
        <is>
          <t>ดาต้า เวคเตอร์</t>
        </is>
      </c>
      <c r="D38" s="46" t="inlineStr">
        <is>
          <t>B2B อื่นๆ</t>
        </is>
      </c>
      <c r="E38" s="46" t="inlineStr">
        <is>
          <t>LKT. 2026-01 -PL642</t>
        </is>
      </c>
      <c r="F38" s="46" t="inlineStr">
        <is>
          <t>19 มกราคม 2025</t>
        </is>
      </c>
      <c r="G38" s="46" t="inlineStr">
        <is>
          <t>เสาไฟถนน</t>
        </is>
      </c>
      <c r="H38" s="48" t="inlineStr">
        <is>
          <t>Post Top Pole 10M-T4-TR</t>
        </is>
      </c>
      <c r="I38" s="49" t="n">
        <v>14565</v>
      </c>
      <c r="J38" s="49" t="n">
        <v>1019.55</v>
      </c>
      <c r="K38" s="49" t="n">
        <v>15584.55</v>
      </c>
      <c r="L38" s="46" t="inlineStr">
        <is>
          <t>⚪ รอผล</t>
        </is>
      </c>
      <c r="M38" s="46" t="inlineStr">
        <is>
          <t>ต่ำ</t>
        </is>
      </c>
      <c r="N38" s="46" t="n">
        <v>1</v>
      </c>
      <c r="O38" s="46" t="inlineStr">
        <is>
          <t>—</t>
        </is>
      </c>
      <c r="P38" s="46" t="n"/>
      <c r="Q38" s="46" t="n"/>
      <c r="R38" s="46" t="n"/>
      <c r="S38" s="46" t="n"/>
    </row>
    <row r="39" ht="15" customHeight="1">
      <c r="A39" s="38" t="inlineStr">
        <is>
          <t>PL643</t>
        </is>
      </c>
      <c r="B39" s="38" t="inlineStr">
        <is>
          <t>2026-01</t>
        </is>
      </c>
      <c r="C39" s="39" t="inlineStr">
        <is>
          <t>กรรณเลิศ เทรดดิ้ง</t>
        </is>
      </c>
      <c r="D39" s="38" t="inlineStr">
        <is>
          <t>B2B อื่นๆ</t>
        </is>
      </c>
      <c r="E39" s="38" t="inlineStr">
        <is>
          <t>LKT. 2026-01 -PL642</t>
        </is>
      </c>
      <c r="F39" s="38" t="inlineStr">
        <is>
          <t>19 มกราคม 2026</t>
        </is>
      </c>
      <c r="G39" s="38" t="inlineStr">
        <is>
          <t>High Mast</t>
        </is>
      </c>
      <c r="H39" s="40" t="inlineStr">
        <is>
          <t>Pole With Bracket 9M-T4-TR</t>
        </is>
      </c>
      <c r="I39" s="41" t="n">
        <v>281652</v>
      </c>
      <c r="J39" s="41" t="n">
        <v>19715.64</v>
      </c>
      <c r="K39" s="41" t="n">
        <v>301367.64</v>
      </c>
      <c r="L39" s="38" t="inlineStr">
        <is>
          <t>📋 ติดตาม</t>
        </is>
      </c>
      <c r="M39" s="38" t="inlineStr">
        <is>
          <t>กลาง</t>
        </is>
      </c>
      <c r="N39" s="38" t="n">
        <v>1</v>
      </c>
      <c r="O39" s="38" t="inlineStr">
        <is>
          <t>—</t>
        </is>
      </c>
      <c r="P39" s="38" t="n"/>
      <c r="Q39" s="38" t="n"/>
      <c r="R39" s="38" t="n"/>
      <c r="S39" s="38" t="n"/>
    </row>
    <row r="40" ht="15" customHeight="1">
      <c r="A40" s="38" t="inlineStr">
        <is>
          <t>PL644</t>
        </is>
      </c>
      <c r="B40" s="38" t="inlineStr">
        <is>
          <t>2026-01</t>
        </is>
      </c>
      <c r="C40" s="39" t="inlineStr">
        <is>
          <t>พรีไซซ</t>
        </is>
      </c>
      <c r="D40" s="38" t="inlineStr">
        <is>
          <t>B2B อื่นๆ</t>
        </is>
      </c>
      <c r="E40" s="38" t="inlineStr">
        <is>
          <t>LKT. 2026-01 -PL644</t>
        </is>
      </c>
      <c r="F40" s="38" t="inlineStr">
        <is>
          <t>19 มกราคม 2026</t>
        </is>
      </c>
      <c r="G40" s="38" t="inlineStr">
        <is>
          <t>High Mast</t>
        </is>
      </c>
      <c r="H40" s="40" t="inlineStr">
        <is>
          <t>High Mast 15 M PCD550+วงแหวน 6 โคม(โดมOD890)</t>
        </is>
      </c>
      <c r="I40" s="41" t="n">
        <v>485874.2</v>
      </c>
      <c r="J40" s="41" t="n">
        <v>34011.19</v>
      </c>
      <c r="K40" s="41" t="n">
        <v>519885.39</v>
      </c>
      <c r="L40" s="38" t="inlineStr">
        <is>
          <t>📋 ติดตาม</t>
        </is>
      </c>
      <c r="M40" s="38" t="inlineStr">
        <is>
          <t>กลาง</t>
        </is>
      </c>
      <c r="N40" s="38" t="n">
        <v>1</v>
      </c>
      <c r="O40" s="38" t="inlineStr">
        <is>
          <t>—</t>
        </is>
      </c>
      <c r="P40" s="38" t="n"/>
      <c r="Q40" s="38" t="n"/>
      <c r="R40" s="38" t="n"/>
      <c r="S40" s="38" t="n"/>
    </row>
    <row r="41" ht="15" customHeight="1">
      <c r="A41" s="46" t="inlineStr">
        <is>
          <t>PL645</t>
        </is>
      </c>
      <c r="B41" s="46" t="inlineStr">
        <is>
          <t>2026-01</t>
        </is>
      </c>
      <c r="C41" s="47" t="inlineStr">
        <is>
          <t>ทริคอิเล็คทริค</t>
        </is>
      </c>
      <c r="D41" s="46" t="inlineStr">
        <is>
          <t>B2B อื่นๆ</t>
        </is>
      </c>
      <c r="E41" s="46" t="inlineStr">
        <is>
          <t>LKT. 2026-01 -PL645</t>
        </is>
      </c>
      <c r="F41" s="46" t="inlineStr">
        <is>
          <t>20 มกราคม 2025</t>
        </is>
      </c>
      <c r="G41" s="46" t="inlineStr">
        <is>
          <t>อื่นๆ</t>
        </is>
      </c>
      <c r="H41" s="48" t="inlineStr">
        <is>
          <t>อื่นๆ</t>
        </is>
      </c>
      <c r="I41" s="49" t="n">
        <v>4263</v>
      </c>
      <c r="J41" s="49" t="n">
        <v>298.41</v>
      </c>
      <c r="K41" s="49" t="n">
        <v>4561.41</v>
      </c>
      <c r="L41" s="46" t="inlineStr">
        <is>
          <t>⚪ รอผล</t>
        </is>
      </c>
      <c r="M41" s="46" t="inlineStr">
        <is>
          <t>ต่ำ</t>
        </is>
      </c>
      <c r="N41" s="46" t="n">
        <v>0</v>
      </c>
      <c r="O41" s="46" t="inlineStr">
        <is>
          <t>—</t>
        </is>
      </c>
      <c r="P41" s="46" t="n"/>
      <c r="Q41" s="46" t="n"/>
      <c r="R41" s="46" t="n"/>
      <c r="S41" s="46" t="n"/>
    </row>
    <row r="42" ht="15" customHeight="1">
      <c r="A42" s="46" t="inlineStr">
        <is>
          <t>PL646</t>
        </is>
      </c>
      <c r="B42" s="46" t="inlineStr">
        <is>
          <t>2026-01</t>
        </is>
      </c>
      <c r="C42" s="47" t="inlineStr">
        <is>
          <t>เลคิเซ่ เอฟแอนด์เอฟ  R01</t>
        </is>
      </c>
      <c r="D42" s="46" t="inlineStr">
        <is>
          <t>B2B อื่นๆ</t>
        </is>
      </c>
      <c r="E42" s="46" t="inlineStr">
        <is>
          <t>LKT. 2025-09 -PL465</t>
        </is>
      </c>
      <c r="F42" s="46" t="inlineStr">
        <is>
          <t>19 มกราคม 2026</t>
        </is>
      </c>
      <c r="G42" s="46" t="inlineStr">
        <is>
          <t>เสาไฟถนน</t>
        </is>
      </c>
      <c r="H42" s="48" t="inlineStr">
        <is>
          <t>Pole With Bracket H6.71M4.5tmm.+แร็คไฟฟา7ชอง</t>
        </is>
      </c>
      <c r="I42" s="49" t="n">
        <v>119550</v>
      </c>
      <c r="J42" s="49" t="n">
        <v>8368.5</v>
      </c>
      <c r="K42" s="49" t="n">
        <v>127918.5</v>
      </c>
      <c r="L42" s="46" t="inlineStr">
        <is>
          <t>⚪ รอผล</t>
        </is>
      </c>
      <c r="M42" s="46" t="inlineStr">
        <is>
          <t>ต่ำ</t>
        </is>
      </c>
      <c r="N42" s="46" t="n">
        <v>1</v>
      </c>
      <c r="O42" s="46" t="inlineStr">
        <is>
          <t>—</t>
        </is>
      </c>
      <c r="P42" s="46" t="n"/>
      <c r="Q42" s="46" t="n"/>
      <c r="R42" s="46" t="n"/>
      <c r="S42" s="46" t="n"/>
    </row>
    <row r="43" ht="15" customHeight="1">
      <c r="A43" s="42" t="inlineStr">
        <is>
          <t>PL647</t>
        </is>
      </c>
      <c r="B43" s="42" t="inlineStr">
        <is>
          <t>2026-01</t>
        </is>
      </c>
      <c r="C43" s="43" t="inlineStr">
        <is>
          <t>ทองมาคอนแทรคเตอร์</t>
        </is>
      </c>
      <c r="D43" s="42" t="inlineStr">
        <is>
          <t>B2B อื่นๆ</t>
        </is>
      </c>
      <c r="E43" s="42" t="inlineStr">
        <is>
          <t>LKT. 2026-01 -PL647</t>
        </is>
      </c>
      <c r="F43" s="42" t="inlineStr">
        <is>
          <t>20 มกราคม 2025</t>
        </is>
      </c>
      <c r="G43" s="42" t="inlineStr">
        <is>
          <t>เสาไฟถนน</t>
        </is>
      </c>
      <c r="H43" s="44" t="inlineStr">
        <is>
          <t>Pole With Bracket 9M-T4-TR</t>
        </is>
      </c>
      <c r="I43" s="45" t="n">
        <v>2472177.4</v>
      </c>
      <c r="J43" s="45" t="n">
        <v>173052.42</v>
      </c>
      <c r="K43" s="45" t="n">
        <v>2645229.82</v>
      </c>
      <c r="L43" s="42" t="inlineStr">
        <is>
          <t>📞 ติดตาม-High</t>
        </is>
      </c>
      <c r="M43" s="42" t="inlineStr">
        <is>
          <t>สูง</t>
        </is>
      </c>
      <c r="N43" s="42" t="n">
        <v>1</v>
      </c>
      <c r="O43" s="42" t="inlineStr">
        <is>
          <t>—</t>
        </is>
      </c>
      <c r="P43" s="42" t="n"/>
      <c r="Q43" s="42" t="n"/>
      <c r="R43" s="42" t="n"/>
      <c r="S43" s="42" t="n"/>
    </row>
    <row r="44" ht="15" customHeight="1">
      <c r="A44" s="38" t="inlineStr">
        <is>
          <t>PL648</t>
        </is>
      </c>
      <c r="B44" s="38" t="inlineStr">
        <is>
          <t>2026-01</t>
        </is>
      </c>
      <c r="C44" s="39" t="inlineStr">
        <is>
          <t>ตั้งใจสร้าง</t>
        </is>
      </c>
      <c r="D44" s="38" t="inlineStr">
        <is>
          <t>B2B อื่นๆ</t>
        </is>
      </c>
      <c r="E44" s="38" t="inlineStr">
        <is>
          <t>LKT. 2026-01 -PL648</t>
        </is>
      </c>
      <c r="F44" s="38" t="inlineStr">
        <is>
          <t>20 มกราคม 2026</t>
        </is>
      </c>
      <c r="G44" s="38" t="inlineStr">
        <is>
          <t>High Mast</t>
        </is>
      </c>
      <c r="H44" s="40" t="inlineStr">
        <is>
          <t>High Mast 15 M PCD550+วงแหวน 8 โคม(โดมOD890)</t>
        </is>
      </c>
      <c r="I44" s="41" t="n">
        <v>546585.2</v>
      </c>
      <c r="J44" s="41" t="n">
        <v>38260.96</v>
      </c>
      <c r="K44" s="41" t="n">
        <v>584846.16</v>
      </c>
      <c r="L44" s="38" t="inlineStr">
        <is>
          <t>📋 ติดตาม</t>
        </is>
      </c>
      <c r="M44" s="38" t="inlineStr">
        <is>
          <t>กลาง</t>
        </is>
      </c>
      <c r="N44" s="38" t="n">
        <v>1</v>
      </c>
      <c r="O44" s="38" t="inlineStr">
        <is>
          <t>—</t>
        </is>
      </c>
      <c r="P44" s="38" t="n"/>
      <c r="Q44" s="38" t="n"/>
      <c r="R44" s="38" t="n"/>
      <c r="S44" s="38" t="n"/>
    </row>
    <row r="45" ht="15" customHeight="1">
      <c r="A45" s="46" t="inlineStr">
        <is>
          <t>PL649</t>
        </is>
      </c>
      <c r="B45" s="46" t="inlineStr">
        <is>
          <t>2026-01</t>
        </is>
      </c>
      <c r="C45" s="47" t="inlineStr">
        <is>
          <t>เค บี เอ็ม</t>
        </is>
      </c>
      <c r="D45" s="46" t="inlineStr">
        <is>
          <t>B2B อื่นๆ</t>
        </is>
      </c>
      <c r="E45" s="46" t="inlineStr">
        <is>
          <t>LKT. 2026-01 -PL649</t>
        </is>
      </c>
      <c r="F45" s="46" t="inlineStr">
        <is>
          <t>20 มกราคม 2026</t>
        </is>
      </c>
      <c r="G45" s="46" t="inlineStr">
        <is>
          <t>High Mast</t>
        </is>
      </c>
      <c r="H45" s="48" t="inlineStr">
        <is>
          <t>High mast Pole 20 M วงแหวน 8 โคม เหล็ก 4.5 มม.</t>
        </is>
      </c>
      <c r="I45" s="49" t="n">
        <v>162660.4</v>
      </c>
      <c r="J45" s="49" t="n">
        <v>11386.23</v>
      </c>
      <c r="K45" s="49" t="n">
        <v>174046.63</v>
      </c>
      <c r="L45" s="46" t="inlineStr">
        <is>
          <t>⚪ รอผล</t>
        </is>
      </c>
      <c r="M45" s="46" t="inlineStr">
        <is>
          <t>ต่ำ</t>
        </is>
      </c>
      <c r="N45" s="46" t="n">
        <v>1</v>
      </c>
      <c r="O45" s="46" t="inlineStr">
        <is>
          <t>อปท. Supply</t>
        </is>
      </c>
      <c r="P45" s="46" t="n"/>
      <c r="Q45" s="46" t="n"/>
      <c r="R45" s="46" t="n"/>
      <c r="S45" s="46" t="n"/>
    </row>
    <row r="46" ht="15" customHeight="1">
      <c r="A46" s="46" t="inlineStr">
        <is>
          <t>PL650</t>
        </is>
      </c>
      <c r="B46" s="46" t="inlineStr">
        <is>
          <t>2026-01</t>
        </is>
      </c>
      <c r="C46" s="47" t="inlineStr">
        <is>
          <t>S&amp;A Informaiton</t>
        </is>
      </c>
      <c r="D46" s="46" t="inlineStr">
        <is>
          <t>B2B อื่นๆ</t>
        </is>
      </c>
      <c r="E46" s="46" t="inlineStr">
        <is>
          <t>LKT. 2026-01 -PL650</t>
        </is>
      </c>
      <c r="F46" s="46" t="inlineStr">
        <is>
          <t>20 มกราคม 2026</t>
        </is>
      </c>
      <c r="G46" s="46" t="inlineStr">
        <is>
          <t>เสาไฟถนน</t>
        </is>
      </c>
      <c r="H46" s="48" t="inlineStr">
        <is>
          <t>post top 5M ( ไมมีฐานเสา )</t>
        </is>
      </c>
      <c r="I46" s="49" t="n">
        <v>53116</v>
      </c>
      <c r="J46" s="49" t="n">
        <v>3718.12</v>
      </c>
      <c r="K46" s="49" t="n">
        <v>56834.12</v>
      </c>
      <c r="L46" s="46" t="inlineStr">
        <is>
          <t>⚪ รอผล</t>
        </is>
      </c>
      <c r="M46" s="46" t="inlineStr">
        <is>
          <t>ต่ำ</t>
        </is>
      </c>
      <c r="N46" s="46" t="n">
        <v>1</v>
      </c>
      <c r="O46" s="46" t="inlineStr">
        <is>
          <t>—</t>
        </is>
      </c>
      <c r="P46" s="46" t="n"/>
      <c r="Q46" s="46" t="n"/>
      <c r="R46" s="46" t="n"/>
      <c r="S46" s="46" t="n"/>
    </row>
    <row r="47" ht="15" customHeight="1">
      <c r="A47" s="46" t="inlineStr">
        <is>
          <t>PL651</t>
        </is>
      </c>
      <c r="B47" s="46" t="inlineStr">
        <is>
          <t>2026-01</t>
        </is>
      </c>
      <c r="C47" s="47" t="inlineStr">
        <is>
          <t>กรวิชญ์ สุขสวัสดิ์</t>
        </is>
      </c>
      <c r="D47" s="46" t="inlineStr">
        <is>
          <t>B2B อื่นๆ</t>
        </is>
      </c>
      <c r="E47" s="46" t="inlineStr">
        <is>
          <t>LKT. 2026-01 -PL651</t>
        </is>
      </c>
      <c r="F47" s="46" t="inlineStr">
        <is>
          <t>21 มกราคม 2025</t>
        </is>
      </c>
      <c r="G47" s="46" t="inlineStr">
        <is>
          <t>เสาไฟถนน</t>
        </is>
      </c>
      <c r="H47" s="48" t="inlineStr">
        <is>
          <t>Pole With Bracket 7M-T4-TR</t>
        </is>
      </c>
      <c r="I47" s="49" t="n">
        <v>8185</v>
      </c>
      <c r="J47" s="49" t="n">
        <v>572.95</v>
      </c>
      <c r="K47" s="49" t="n">
        <v>8757.950000000001</v>
      </c>
      <c r="L47" s="46" t="inlineStr">
        <is>
          <t>⚪ รอผล</t>
        </is>
      </c>
      <c r="M47" s="46" t="inlineStr">
        <is>
          <t>ต่ำ</t>
        </is>
      </c>
      <c r="N47" s="46" t="n">
        <v>1</v>
      </c>
      <c r="O47" s="46" t="inlineStr">
        <is>
          <t>—</t>
        </is>
      </c>
      <c r="P47" s="46" t="n"/>
      <c r="Q47" s="46" t="n"/>
      <c r="R47" s="46" t="n"/>
      <c r="S47" s="46" t="n"/>
    </row>
    <row r="48" ht="15" customHeight="1">
      <c r="A48" s="42" t="inlineStr">
        <is>
          <t>PL652</t>
        </is>
      </c>
      <c r="B48" s="42" t="inlineStr">
        <is>
          <t>2026-01</t>
        </is>
      </c>
      <c r="C48" s="43" t="inlineStr">
        <is>
          <t>สมบูรณ์อิเล็คทริค</t>
        </is>
      </c>
      <c r="D48" s="42" t="inlineStr">
        <is>
          <t>B2B อื่นๆ</t>
        </is>
      </c>
      <c r="E48" s="42" t="inlineStr">
        <is>
          <t>LKT. 2026-01 -PL652</t>
        </is>
      </c>
      <c r="F48" s="42" t="inlineStr">
        <is>
          <t>28 มกราคม 2026</t>
        </is>
      </c>
      <c r="G48" s="42" t="inlineStr">
        <is>
          <t>High Mast</t>
        </is>
      </c>
      <c r="H48" s="44" t="inlineStr">
        <is>
          <t>HIGH MAST POLE 15M วงแหวน 8โคม OD1.8M</t>
        </is>
      </c>
      <c r="I48" s="45" t="n">
        <v>1371176.8</v>
      </c>
      <c r="J48" s="45" t="n">
        <v>95982.38</v>
      </c>
      <c r="K48" s="45" t="n">
        <v>1467159.18</v>
      </c>
      <c r="L48" s="42" t="inlineStr">
        <is>
          <t>📞 ติดตาม-High</t>
        </is>
      </c>
      <c r="M48" s="42" t="inlineStr">
        <is>
          <t>สูง</t>
        </is>
      </c>
      <c r="N48" s="42" t="n">
        <v>1</v>
      </c>
      <c r="O48" s="42" t="inlineStr">
        <is>
          <t>—</t>
        </is>
      </c>
      <c r="P48" s="42" t="n"/>
      <c r="Q48" s="42" t="n"/>
      <c r="R48" s="42" t="n"/>
      <c r="S48" s="42" t="n"/>
    </row>
    <row r="49" ht="15" customHeight="1">
      <c r="A49" s="50" t="inlineStr">
        <is>
          <t>PL654</t>
        </is>
      </c>
      <c r="B49" s="50" t="inlineStr">
        <is>
          <t>2026-01</t>
        </is>
      </c>
      <c r="C49" s="51" t="inlineStr">
        <is>
          <t>กรรณเลิศ เทรดดิ้ง</t>
        </is>
      </c>
      <c r="D49" s="50" t="inlineStr">
        <is>
          <t>B2B อื่นๆ</t>
        </is>
      </c>
      <c r="E49" s="50" t="inlineStr">
        <is>
          <t>LKT. 2026-01 -PL642</t>
        </is>
      </c>
      <c r="F49" s="50" t="inlineStr">
        <is>
          <t>26 มกราคม 2026</t>
        </is>
      </c>
      <c r="G49" s="50" t="inlineStr">
        <is>
          <t>High Mast</t>
        </is>
      </c>
      <c r="H49" s="52" t="inlineStr">
        <is>
          <t>High mast Pole 20 M วงแหวน 8 โคม เหล็ก 4.5 มม.</t>
        </is>
      </c>
      <c r="I49" s="53" t="n">
        <v>8216697.25</v>
      </c>
      <c r="J49" s="53" t="n">
        <v>575168.8100000001</v>
      </c>
      <c r="K49" s="53" t="n">
        <v>8791866.060000001</v>
      </c>
      <c r="L49" s="50" t="inlineStr">
        <is>
          <t>🔥 ร้อน</t>
        </is>
      </c>
      <c r="M49" s="50" t="inlineStr">
        <is>
          <t>สูงมาก</t>
        </is>
      </c>
      <c r="N49" s="50" t="n">
        <v>1</v>
      </c>
      <c r="O49" s="50" t="inlineStr">
        <is>
          <t>—</t>
        </is>
      </c>
      <c r="P49" s="50" t="n"/>
      <c r="Q49" s="50" t="n"/>
      <c r="R49" s="50" t="n"/>
      <c r="S49" s="50" t="n"/>
    </row>
    <row r="50" ht="15" customHeight="1">
      <c r="A50" s="46" t="inlineStr">
        <is>
          <t>PL655</t>
        </is>
      </c>
      <c r="B50" s="46" t="inlineStr">
        <is>
          <t>2026-01</t>
        </is>
      </c>
      <c r="C50" s="47" t="inlineStr">
        <is>
          <t>เอส พีวัน กรุ๊ป</t>
        </is>
      </c>
      <c r="D50" s="46" t="inlineStr">
        <is>
          <t>B2B อื่นๆ</t>
        </is>
      </c>
      <c r="E50" s="46" t="inlineStr">
        <is>
          <t>LKT. 2026-01 -PL655</t>
        </is>
      </c>
      <c r="F50" s="46" t="inlineStr">
        <is>
          <t>22 มกราคม 2026</t>
        </is>
      </c>
      <c r="G50" s="46" t="inlineStr">
        <is>
          <t>เสาไฟถนน</t>
        </is>
      </c>
      <c r="H50" s="48" t="inlineStr">
        <is>
          <t>Pole With Bracket 9M-T4-TR</t>
        </is>
      </c>
      <c r="I50" s="49" t="n">
        <v>145922</v>
      </c>
      <c r="J50" s="49" t="n">
        <v>10214.54</v>
      </c>
      <c r="K50" s="49" t="n">
        <v>156136.54</v>
      </c>
      <c r="L50" s="46" t="inlineStr">
        <is>
          <t>⚪ รอผล</t>
        </is>
      </c>
      <c r="M50" s="46" t="inlineStr">
        <is>
          <t>ต่ำ</t>
        </is>
      </c>
      <c r="N50" s="46" t="n">
        <v>1</v>
      </c>
      <c r="O50" s="46" t="inlineStr">
        <is>
          <t>—</t>
        </is>
      </c>
      <c r="P50" s="46" t="n"/>
      <c r="Q50" s="46" t="n"/>
      <c r="R50" s="46" t="n"/>
      <c r="S50" s="46" t="n"/>
    </row>
    <row r="51" ht="15" customHeight="1">
      <c r="A51" s="38" t="inlineStr">
        <is>
          <t>PL656</t>
        </is>
      </c>
      <c r="B51" s="38" t="inlineStr">
        <is>
          <t>2026-01</t>
        </is>
      </c>
      <c r="C51" s="39" t="inlineStr">
        <is>
          <t>จตุรมาศ</t>
        </is>
      </c>
      <c r="D51" s="38" t="inlineStr">
        <is>
          <t>B2B อื่นๆ</t>
        </is>
      </c>
      <c r="E51" s="38" t="inlineStr">
        <is>
          <t>LKT. 2026-01 -PL656</t>
        </is>
      </c>
      <c r="F51" s="38" t="inlineStr">
        <is>
          <t>23 มกราคม 2026</t>
        </is>
      </c>
      <c r="G51" s="38" t="inlineStr">
        <is>
          <t>High Mast</t>
        </is>
      </c>
      <c r="H51" s="40" t="inlineStr">
        <is>
          <t>Pole With Bracket 6M-T4-TR</t>
        </is>
      </c>
      <c r="I51" s="41" t="n">
        <v>544105.8</v>
      </c>
      <c r="J51" s="41" t="n">
        <v>38087.41</v>
      </c>
      <c r="K51" s="41" t="n">
        <v>582193.21</v>
      </c>
      <c r="L51" s="38" t="inlineStr">
        <is>
          <t>📋 ติดตาม</t>
        </is>
      </c>
      <c r="M51" s="38" t="inlineStr">
        <is>
          <t>กลาง</t>
        </is>
      </c>
      <c r="N51" s="38" t="n">
        <v>1</v>
      </c>
      <c r="O51" s="38" t="inlineStr">
        <is>
          <t>—</t>
        </is>
      </c>
      <c r="P51" s="38" t="n"/>
      <c r="Q51" s="38" t="n"/>
      <c r="R51" s="38" t="n"/>
      <c r="S51" s="38" t="n"/>
    </row>
    <row r="52" ht="15" customHeight="1">
      <c r="A52" s="38" t="inlineStr">
        <is>
          <t>PL657</t>
        </is>
      </c>
      <c r="B52" s="38" t="inlineStr">
        <is>
          <t>2026-01</t>
        </is>
      </c>
      <c r="C52" s="39" t="inlineStr">
        <is>
          <t>บริษัท เอ็ม เอ็น พี เสิร์ฟ จำกัด</t>
        </is>
      </c>
      <c r="D52" s="38" t="inlineStr">
        <is>
          <t>B2B บริษัท</t>
        </is>
      </c>
      <c r="E52" s="38" t="inlineStr">
        <is>
          <t>LKT. 2026-01 -PL657</t>
        </is>
      </c>
      <c r="F52" s="38" t="inlineStr">
        <is>
          <t>23 มกราคม 2025</t>
        </is>
      </c>
      <c r="G52" s="38" t="inlineStr">
        <is>
          <t>เสาไฟถนน</t>
        </is>
      </c>
      <c r="H52" s="40" t="inlineStr">
        <is>
          <t>เสากลมตรง CCTV 3''H 4 M 3t</t>
        </is>
      </c>
      <c r="I52" s="41" t="n">
        <v>460000</v>
      </c>
      <c r="J52" s="41" t="n">
        <v>32200</v>
      </c>
      <c r="K52" s="41" t="n">
        <v>492200</v>
      </c>
      <c r="L52" s="38" t="inlineStr">
        <is>
          <t>📋 ติดตาม</t>
        </is>
      </c>
      <c r="M52" s="38" t="inlineStr">
        <is>
          <t>กลาง</t>
        </is>
      </c>
      <c r="N52" s="38" t="n">
        <v>1</v>
      </c>
      <c r="O52" s="38" t="inlineStr">
        <is>
          <t>—</t>
        </is>
      </c>
      <c r="P52" s="38" t="n"/>
      <c r="Q52" s="38" t="n"/>
      <c r="R52" s="38" t="n"/>
      <c r="S52" s="38" t="n"/>
    </row>
    <row r="53" ht="15" customHeight="1">
      <c r="A53" s="50" t="inlineStr">
        <is>
          <t>PL658</t>
        </is>
      </c>
      <c r="B53" s="50" t="inlineStr">
        <is>
          <t>2026-01</t>
        </is>
      </c>
      <c r="C53" s="51" t="inlineStr">
        <is>
          <t>วันชัยการไฟฟ้า</t>
        </is>
      </c>
      <c r="D53" s="50" t="inlineStr">
        <is>
          <t>B2B อื่นๆ</t>
        </is>
      </c>
      <c r="E53" s="50" t="inlineStr">
        <is>
          <t>LKT. 2026-01 -PL658</t>
        </is>
      </c>
      <c r="F53" s="50" t="inlineStr">
        <is>
          <t>24 มกราคม 2026</t>
        </is>
      </c>
      <c r="G53" s="50" t="inlineStr">
        <is>
          <t>High Mast</t>
        </is>
      </c>
      <c r="H53" s="52" t="inlineStr">
        <is>
          <t>HIGH MAST POLE 20M วงแหวน 8โคม</t>
        </is>
      </c>
      <c r="I53" s="53" t="n">
        <v>4135796</v>
      </c>
      <c r="J53" s="53" t="n">
        <v>289505.72</v>
      </c>
      <c r="K53" s="53" t="n">
        <v>4425301.72</v>
      </c>
      <c r="L53" s="50" t="inlineStr">
        <is>
          <t>🔥 ร้อน</t>
        </is>
      </c>
      <c r="M53" s="50" t="inlineStr">
        <is>
          <t>สูงมาก</t>
        </is>
      </c>
      <c r="N53" s="50" t="n">
        <v>1</v>
      </c>
      <c r="O53" s="50" t="inlineStr">
        <is>
          <t>—</t>
        </is>
      </c>
      <c r="P53" s="50" t="n"/>
      <c r="Q53" s="50" t="n"/>
      <c r="R53" s="50" t="n"/>
      <c r="S53" s="50" t="n"/>
    </row>
    <row r="54" ht="15" customHeight="1">
      <c r="A54" s="38" t="inlineStr">
        <is>
          <t>PL659</t>
        </is>
      </c>
      <c r="B54" s="38" t="inlineStr">
        <is>
          <t>2026-01</t>
        </is>
      </c>
      <c r="C54" s="39" t="inlineStr">
        <is>
          <t>PT ส พิรุณพร</t>
        </is>
      </c>
      <c r="D54" s="38" t="inlineStr">
        <is>
          <t>B2B อื่นๆ</t>
        </is>
      </c>
      <c r="E54" s="38" t="inlineStr">
        <is>
          <t>LKT. 2026-01 -PL659</t>
        </is>
      </c>
      <c r="F54" s="38" t="inlineStr">
        <is>
          <t>25 มกราคม 2026</t>
        </is>
      </c>
      <c r="G54" s="38" t="inlineStr">
        <is>
          <t>LED Streetlight</t>
        </is>
      </c>
      <c r="H54" s="40" t="inlineStr">
        <is>
          <t>LED Streetlight 150W 5700K 23,250lm</t>
        </is>
      </c>
      <c r="I54" s="41" t="n">
        <v>308896</v>
      </c>
      <c r="J54" s="41" t="n">
        <v>21622.72</v>
      </c>
      <c r="K54" s="41" t="n">
        <v>330518.72</v>
      </c>
      <c r="L54" s="38" t="inlineStr">
        <is>
          <t>📋 ติดตาม</t>
        </is>
      </c>
      <c r="M54" s="38" t="inlineStr">
        <is>
          <t>กลาง</t>
        </is>
      </c>
      <c r="N54" s="38" t="n">
        <v>1</v>
      </c>
      <c r="O54" s="38" t="inlineStr">
        <is>
          <t>—</t>
        </is>
      </c>
      <c r="P54" s="38" t="n"/>
      <c r="Q54" s="38" t="n"/>
      <c r="R54" s="38" t="n"/>
      <c r="S54" s="38" t="n"/>
    </row>
    <row r="55" ht="15" customHeight="1">
      <c r="A55" s="46" t="inlineStr">
        <is>
          <t>PL670</t>
        </is>
      </c>
      <c r="B55" s="46" t="inlineStr">
        <is>
          <t>2026-01</t>
        </is>
      </c>
      <c r="C55" s="47" t="inlineStr">
        <is>
          <t>แอเรีย เทคโนโลยี</t>
        </is>
      </c>
      <c r="D55" s="46" t="inlineStr">
        <is>
          <t>B2B อื่นๆ</t>
        </is>
      </c>
      <c r="E55" s="46" t="inlineStr">
        <is>
          <t>LKT. 2025-10 -PL489</t>
        </is>
      </c>
      <c r="F55" s="46" t="inlineStr">
        <is>
          <t>26 มกราคม 2026</t>
        </is>
      </c>
      <c r="G55" s="46" t="inlineStr">
        <is>
          <t>Solar</t>
        </is>
      </c>
      <c r="H55" s="48" t="inlineStr">
        <is>
          <t>เสากลมตรง 4'' H3.5M.(วัดนํ้าเสีย)+Support solar</t>
        </is>
      </c>
      <c r="I55" s="49" t="n">
        <v>51851.95</v>
      </c>
      <c r="J55" s="49" t="n">
        <v>3629.64</v>
      </c>
      <c r="K55" s="49" t="n">
        <v>55481.59</v>
      </c>
      <c r="L55" s="46" t="inlineStr">
        <is>
          <t>⚪ รอผล</t>
        </is>
      </c>
      <c r="M55" s="46" t="inlineStr">
        <is>
          <t>ต่ำ</t>
        </is>
      </c>
      <c r="N55" s="46" t="n">
        <v>1</v>
      </c>
      <c r="O55" s="46" t="inlineStr">
        <is>
          <t>—</t>
        </is>
      </c>
      <c r="P55" s="46" t="n"/>
      <c r="Q55" s="46" t="n"/>
      <c r="R55" s="46" t="n"/>
      <c r="S55" s="46" t="n"/>
    </row>
    <row r="56" ht="15" customHeight="1">
      <c r="A56" s="38" t="inlineStr">
        <is>
          <t>PL671</t>
        </is>
      </c>
      <c r="B56" s="38" t="inlineStr">
        <is>
          <t>2026-01</t>
        </is>
      </c>
      <c r="C56" s="39" t="inlineStr">
        <is>
          <t>ซีไลท์ดีเวลลอปเมนท์</t>
        </is>
      </c>
      <c r="D56" s="38" t="inlineStr">
        <is>
          <t>B2B อื่นๆ</t>
        </is>
      </c>
      <c r="E56" s="38" t="inlineStr">
        <is>
          <t>LKT. 2026-01-PL671</t>
        </is>
      </c>
      <c r="F56" s="38" t="inlineStr">
        <is>
          <t>26 มกราคม 2026</t>
        </is>
      </c>
      <c r="G56" s="38" t="inlineStr">
        <is>
          <t>อื่นๆ</t>
        </is>
      </c>
      <c r="H56" s="40" t="inlineStr">
        <is>
          <t>อื่นๆ</t>
        </is>
      </c>
      <c r="I56" s="41" t="n">
        <v>336176.5</v>
      </c>
      <c r="J56" s="41" t="n">
        <v>23532.36</v>
      </c>
      <c r="K56" s="41" t="n">
        <v>359708.86</v>
      </c>
      <c r="L56" s="38" t="inlineStr">
        <is>
          <t>📋 ติดตาม</t>
        </is>
      </c>
      <c r="M56" s="38" t="inlineStr">
        <is>
          <t>กลาง</t>
        </is>
      </c>
      <c r="N56" s="38" t="n">
        <v>0</v>
      </c>
      <c r="O56" s="38" t="inlineStr">
        <is>
          <t>—</t>
        </is>
      </c>
      <c r="P56" s="38" t="n"/>
      <c r="Q56" s="38" t="n"/>
      <c r="R56" s="38" t="n"/>
      <c r="S56" s="38" t="n"/>
    </row>
    <row r="57" ht="15" customHeight="1">
      <c r="A57" s="38" t="inlineStr">
        <is>
          <t>PL672</t>
        </is>
      </c>
      <c r="B57" s="38" t="inlineStr">
        <is>
          <t>2026-01</t>
        </is>
      </c>
      <c r="C57" s="39" t="inlineStr">
        <is>
          <t>ศิรประภาก่อสร้าง</t>
        </is>
      </c>
      <c r="D57" s="38" t="inlineStr">
        <is>
          <t>B2B อื่นๆ</t>
        </is>
      </c>
      <c r="E57" s="38" t="inlineStr">
        <is>
          <t>LKT. 2026-01 -PL672</t>
        </is>
      </c>
      <c r="F57" s="38" t="inlineStr">
        <is>
          <t>26 มกราคม 2025</t>
        </is>
      </c>
      <c r="G57" s="38" t="inlineStr">
        <is>
          <t>เสาไฟถนน</t>
        </is>
      </c>
      <c r="H57" s="40" t="inlineStr">
        <is>
          <t>Pole With Bracket 9M-T4-TR</t>
        </is>
      </c>
      <c r="I57" s="41" t="n">
        <v>470057</v>
      </c>
      <c r="J57" s="41" t="n">
        <v>32903.99</v>
      </c>
      <c r="K57" s="41" t="n">
        <v>502960.99</v>
      </c>
      <c r="L57" s="38" t="inlineStr">
        <is>
          <t>📋 ติดตาม</t>
        </is>
      </c>
      <c r="M57" s="38" t="inlineStr">
        <is>
          <t>กลาง</t>
        </is>
      </c>
      <c r="N57" s="38" t="n">
        <v>1</v>
      </c>
      <c r="O57" s="38" t="inlineStr">
        <is>
          <t>—</t>
        </is>
      </c>
      <c r="P57" s="38" t="n"/>
      <c r="Q57" s="38" t="n"/>
      <c r="R57" s="38" t="n"/>
      <c r="S57" s="38" t="n"/>
    </row>
    <row r="58" ht="15" customHeight="1">
      <c r="A58" s="38" t="inlineStr">
        <is>
          <t>PL673</t>
        </is>
      </c>
      <c r="B58" s="38" t="inlineStr">
        <is>
          <t>2026-01</t>
        </is>
      </c>
      <c r="C58" s="39" t="inlineStr">
        <is>
          <t>บางน้อย</t>
        </is>
      </c>
      <c r="D58" s="38" t="inlineStr">
        <is>
          <t>B2B อื่นๆ</t>
        </is>
      </c>
      <c r="E58" s="38" t="inlineStr">
        <is>
          <t>LKT. 2026-01 -PL673</t>
        </is>
      </c>
      <c r="F58" s="38" t="inlineStr">
        <is>
          <t>27 มกราคม 2026</t>
        </is>
      </c>
      <c r="G58" s="38" t="inlineStr">
        <is>
          <t>เสาไฟถนน</t>
        </is>
      </c>
      <c r="H58" s="40" t="inlineStr">
        <is>
          <t>Pole With Bracket 9M-T4-TR</t>
        </is>
      </c>
      <c r="I58" s="41" t="n">
        <v>924963.2</v>
      </c>
      <c r="J58" s="41" t="n">
        <v>64747.42</v>
      </c>
      <c r="K58" s="41" t="n">
        <v>989710.62</v>
      </c>
      <c r="L58" s="38" t="inlineStr">
        <is>
          <t>📋 ติดตาม</t>
        </is>
      </c>
      <c r="M58" s="38" t="inlineStr">
        <is>
          <t>กลาง</t>
        </is>
      </c>
      <c r="N58" s="38" t="n">
        <v>1</v>
      </c>
      <c r="O58" s="38" t="inlineStr">
        <is>
          <t>—</t>
        </is>
      </c>
      <c r="P58" s="38" t="n"/>
      <c r="Q58" s="38" t="n"/>
      <c r="R58" s="38" t="n"/>
      <c r="S58" s="38" t="n"/>
    </row>
    <row r="59" ht="15" customHeight="1">
      <c r="A59" s="42" t="inlineStr">
        <is>
          <t>PL674</t>
        </is>
      </c>
      <c r="B59" s="42" t="inlineStr">
        <is>
          <t>2026-01</t>
        </is>
      </c>
      <c r="C59" s="43" t="inlineStr">
        <is>
          <t>บริษัท มอส เอ็นเนอร์ยี่ จำกัด</t>
        </is>
      </c>
      <c r="D59" s="42" t="inlineStr">
        <is>
          <t>B2B บริษัท</t>
        </is>
      </c>
      <c r="E59" s="42" t="inlineStr">
        <is>
          <t>LKT. 2026-01 -PL67ภ</t>
        </is>
      </c>
      <c r="F59" s="42" t="inlineStr">
        <is>
          <t>27 มกราคม 2026</t>
        </is>
      </c>
      <c r="G59" s="42" t="inlineStr">
        <is>
          <t>เสาไฟถนน</t>
        </is>
      </c>
      <c r="H59" s="44" t="inlineStr">
        <is>
          <t>Pole With Bracket 6M-T4-TR</t>
        </is>
      </c>
      <c r="I59" s="45" t="n">
        <v>2089164</v>
      </c>
      <c r="J59" s="45" t="n">
        <v>146241.48</v>
      </c>
      <c r="K59" s="45" t="n">
        <v>2235405.48</v>
      </c>
      <c r="L59" s="42" t="inlineStr">
        <is>
          <t>📞 ติดตาม-High</t>
        </is>
      </c>
      <c r="M59" s="42" t="inlineStr">
        <is>
          <t>สูง</t>
        </is>
      </c>
      <c r="N59" s="42" t="n">
        <v>1</v>
      </c>
      <c r="O59" s="42" t="inlineStr">
        <is>
          <t>—</t>
        </is>
      </c>
      <c r="P59" s="42" t="n"/>
      <c r="Q59" s="42" t="n"/>
      <c r="R59" s="42" t="n"/>
      <c r="S59" s="42" t="n"/>
    </row>
    <row r="60" ht="15" customHeight="1">
      <c r="A60" s="38" t="inlineStr">
        <is>
          <t>PL675</t>
        </is>
      </c>
      <c r="B60" s="38" t="inlineStr">
        <is>
          <t>2026-01</t>
        </is>
      </c>
      <c r="C60" s="39" t="inlineStr">
        <is>
          <t>เอ เอส เอ็ม</t>
        </is>
      </c>
      <c r="D60" s="38" t="inlineStr">
        <is>
          <t>B2B อื่นๆ</t>
        </is>
      </c>
      <c r="E60" s="38" t="inlineStr">
        <is>
          <t>LKT. 2026-01 -PL675</t>
        </is>
      </c>
      <c r="F60" s="38" t="n"/>
      <c r="G60" s="38" t="inlineStr">
        <is>
          <t>อื่นๆ</t>
        </is>
      </c>
      <c r="H60" s="40" t="inlineStr">
        <is>
          <t>อื่นๆ</t>
        </is>
      </c>
      <c r="I60" s="41" t="n">
        <v>320900</v>
      </c>
      <c r="J60" s="41" t="n">
        <v>22463</v>
      </c>
      <c r="K60" s="41" t="n">
        <v>343363</v>
      </c>
      <c r="L60" s="38" t="inlineStr">
        <is>
          <t>📋 ติดตาม</t>
        </is>
      </c>
      <c r="M60" s="38" t="inlineStr">
        <is>
          <t>กลาง</t>
        </is>
      </c>
      <c r="N60" s="38" t="n">
        <v>0</v>
      </c>
      <c r="O60" s="38" t="inlineStr">
        <is>
          <t>—</t>
        </is>
      </c>
      <c r="P60" s="38" t="n"/>
      <c r="Q60" s="38" t="n"/>
      <c r="R60" s="38" t="n"/>
      <c r="S60" s="38" t="n"/>
    </row>
    <row r="61" ht="15" customHeight="1">
      <c r="A61" s="46" t="inlineStr">
        <is>
          <t>PL677</t>
        </is>
      </c>
      <c r="B61" s="46" t="inlineStr">
        <is>
          <t>2026-01</t>
        </is>
      </c>
      <c r="C61" s="47" t="inlineStr">
        <is>
          <t>ฐกฤต ดีเวลลอปเม้นท์</t>
        </is>
      </c>
      <c r="D61" s="46" t="inlineStr">
        <is>
          <t>B2B อื่นๆ</t>
        </is>
      </c>
      <c r="E61" s="46" t="inlineStr">
        <is>
          <t>LKT. 2026-01 -PL677</t>
        </is>
      </c>
      <c r="F61" s="46" t="inlineStr">
        <is>
          <t>29 มกราคม 2026</t>
        </is>
      </c>
      <c r="G61" s="46" t="inlineStr">
        <is>
          <t>LED Highbay</t>
        </is>
      </c>
      <c r="H61" s="48" t="inlineStr">
        <is>
          <t>BYD239P LED130/CW PSU GM G2 LED HIGHBAY 100W/6500K</t>
        </is>
      </c>
      <c r="I61" s="49" t="n">
        <v>190708</v>
      </c>
      <c r="J61" s="49" t="n">
        <v>13349.56</v>
      </c>
      <c r="K61" s="49" t="n">
        <v>204057.56</v>
      </c>
      <c r="L61" s="46" t="inlineStr">
        <is>
          <t>⚪ รอผล</t>
        </is>
      </c>
      <c r="M61" s="46" t="inlineStr">
        <is>
          <t>ต่ำ</t>
        </is>
      </c>
      <c r="N61" s="46" t="n">
        <v>1</v>
      </c>
      <c r="O61" s="46" t="inlineStr">
        <is>
          <t>—</t>
        </is>
      </c>
      <c r="P61" s="46" t="n"/>
      <c r="Q61" s="46" t="n"/>
      <c r="R61" s="46" t="n"/>
      <c r="S61" s="46" t="n"/>
    </row>
    <row r="62" ht="15" customHeight="1">
      <c r="A62" s="46" t="inlineStr">
        <is>
          <t>PL678</t>
        </is>
      </c>
      <c r="B62" s="46" t="inlineStr">
        <is>
          <t>2026-01</t>
        </is>
      </c>
      <c r="C62" s="47" t="inlineStr">
        <is>
          <t>เจแอล มอเตอร์</t>
        </is>
      </c>
      <c r="D62" s="46" t="inlineStr">
        <is>
          <t>B2B อื่นๆ</t>
        </is>
      </c>
      <c r="E62" s="46" t="inlineStr">
        <is>
          <t>LKT. 2026-01 -PL678</t>
        </is>
      </c>
      <c r="F62" s="46" t="inlineStr">
        <is>
          <t>29 มกราคม 2026</t>
        </is>
      </c>
      <c r="G62" s="46" t="inlineStr">
        <is>
          <t>High Mast</t>
        </is>
      </c>
      <c r="H62" s="48" t="inlineStr">
        <is>
          <t>HIGH MAST POLE 20M วงแหวน 8 ดวงโคม</t>
        </is>
      </c>
      <c r="I62" s="49" t="n">
        <v>187503.4</v>
      </c>
      <c r="J62" s="49" t="n">
        <v>13125.24</v>
      </c>
      <c r="K62" s="49" t="n">
        <v>200628.64</v>
      </c>
      <c r="L62" s="46" t="inlineStr">
        <is>
          <t>⚪ รอผล</t>
        </is>
      </c>
      <c r="M62" s="46" t="inlineStr">
        <is>
          <t>ต่ำ</t>
        </is>
      </c>
      <c r="N62" s="46" t="n">
        <v>1</v>
      </c>
      <c r="O62" s="46" t="inlineStr">
        <is>
          <t>—</t>
        </is>
      </c>
      <c r="P62" s="46" t="n"/>
      <c r="Q62" s="46" t="n"/>
      <c r="R62" s="46" t="n"/>
      <c r="S62" s="46" t="n"/>
    </row>
    <row r="63" ht="15" customHeight="1">
      <c r="A63" s="46" t="inlineStr">
        <is>
          <t>PL679</t>
        </is>
      </c>
      <c r="B63" s="46" t="inlineStr">
        <is>
          <t>2026-01</t>
        </is>
      </c>
      <c r="C63" s="47" t="inlineStr">
        <is>
          <t>พลอยภัค</t>
        </is>
      </c>
      <c r="D63" s="46" t="inlineStr">
        <is>
          <t>B2B อื่นๆ</t>
        </is>
      </c>
      <c r="E63" s="46" t="inlineStr">
        <is>
          <t>LKT. 2026-01 -PL679</t>
        </is>
      </c>
      <c r="F63" s="46" t="inlineStr">
        <is>
          <t>31 มกราคม 2026</t>
        </is>
      </c>
      <c r="G63" s="46" t="inlineStr">
        <is>
          <t>เสาไฟถนน</t>
        </is>
      </c>
      <c r="H63" s="48" t="inlineStr">
        <is>
          <t>Pole With Bracket 14M-T4-TR</t>
        </is>
      </c>
      <c r="I63" s="49" t="n">
        <v>271656</v>
      </c>
      <c r="J63" s="49" t="n">
        <v>19015.92</v>
      </c>
      <c r="K63" s="49" t="n">
        <v>290671.92</v>
      </c>
      <c r="L63" s="46" t="inlineStr">
        <is>
          <t>⚪ รอผล</t>
        </is>
      </c>
      <c r="M63" s="46" t="inlineStr">
        <is>
          <t>ต่ำ</t>
        </is>
      </c>
      <c r="N63" s="46" t="n">
        <v>1</v>
      </c>
      <c r="O63" s="46" t="inlineStr">
        <is>
          <t>—</t>
        </is>
      </c>
      <c r="P63" s="46" t="n"/>
      <c r="Q63" s="46" t="n"/>
      <c r="R63" s="46" t="n"/>
      <c r="S63" s="46" t="n"/>
    </row>
    <row r="64" ht="15" customHeight="1">
      <c r="A64" s="46" t="inlineStr">
        <is>
          <t>PL680</t>
        </is>
      </c>
      <c r="B64" s="46" t="inlineStr">
        <is>
          <t>2026-02</t>
        </is>
      </c>
      <c r="C64" s="47" t="inlineStr">
        <is>
          <t>กัณฑพงษ์</t>
        </is>
      </c>
      <c r="D64" s="46" t="inlineStr">
        <is>
          <t>B2B อื่นๆ</t>
        </is>
      </c>
      <c r="E64" s="46" t="inlineStr">
        <is>
          <t>LKT. 2026-02 -PL680</t>
        </is>
      </c>
      <c r="F64" s="46" t="n"/>
      <c r="G64" s="46" t="inlineStr">
        <is>
          <t>เสาไฟถนน</t>
        </is>
      </c>
      <c r="H64" s="48" t="inlineStr">
        <is>
          <t>Pole With Bracket 9M-T4-TR</t>
        </is>
      </c>
      <c r="I64" s="49" t="n">
        <v>57844.5</v>
      </c>
      <c r="J64" s="49" t="n">
        <v>4049.12</v>
      </c>
      <c r="K64" s="49" t="n">
        <v>61893.62</v>
      </c>
      <c r="L64" s="46" t="inlineStr">
        <is>
          <t>⚪ รอผล</t>
        </is>
      </c>
      <c r="M64" s="46" t="inlineStr">
        <is>
          <t>ต่ำ</t>
        </is>
      </c>
      <c r="N64" s="46" t="n">
        <v>1</v>
      </c>
      <c r="O64" s="46" t="inlineStr">
        <is>
          <t>—</t>
        </is>
      </c>
      <c r="P64" s="46" t="n"/>
      <c r="Q64" s="46" t="n"/>
      <c r="R64" s="46" t="n"/>
      <c r="S64" s="46" t="n"/>
    </row>
    <row r="65" ht="15" customHeight="1">
      <c r="A65" s="38" t="inlineStr">
        <is>
          <t>PL681</t>
        </is>
      </c>
      <c r="B65" s="38" t="inlineStr">
        <is>
          <t>2026-02</t>
        </is>
      </c>
      <c r="C65" s="39" t="inlineStr">
        <is>
          <t>บ.  ทริปเปิ้ล 89 เอ็นจิเนียริ่ง</t>
        </is>
      </c>
      <c r="D65" s="38" t="inlineStr">
        <is>
          <t>B2B อื่นๆ</t>
        </is>
      </c>
      <c r="E65" s="38" t="inlineStr">
        <is>
          <t>LKT. 2026-01 -PL681</t>
        </is>
      </c>
      <c r="F65" s="38" t="n"/>
      <c r="G65" s="38" t="inlineStr">
        <is>
          <t>เสาไฟถนน</t>
        </is>
      </c>
      <c r="H65" s="40" t="inlineStr">
        <is>
          <t>เสากลมตรง 6'' OD165.2 H 6M + Bracket 4'' L 5M</t>
        </is>
      </c>
      <c r="I65" s="41" t="n">
        <v>823200</v>
      </c>
      <c r="J65" s="41" t="n">
        <v>57624</v>
      </c>
      <c r="K65" s="41" t="n">
        <v>880824</v>
      </c>
      <c r="L65" s="38" t="inlineStr">
        <is>
          <t>📋 ติดตาม</t>
        </is>
      </c>
      <c r="M65" s="38" t="inlineStr">
        <is>
          <t>กลาง</t>
        </is>
      </c>
      <c r="N65" s="38" t="n">
        <v>1</v>
      </c>
      <c r="O65" s="38" t="inlineStr">
        <is>
          <t>—</t>
        </is>
      </c>
      <c r="P65" s="38" t="n"/>
      <c r="Q65" s="38" t="n"/>
      <c r="R65" s="38" t="n"/>
      <c r="S65" s="38" t="n"/>
    </row>
    <row r="66" ht="15" customHeight="1">
      <c r="A66" s="38" t="inlineStr">
        <is>
          <t>PL682</t>
        </is>
      </c>
      <c r="B66" s="38" t="inlineStr">
        <is>
          <t>2026-02</t>
        </is>
      </c>
      <c r="C66" s="39" t="inlineStr">
        <is>
          <t>กรรณเลิศ เทรดดิ้ง</t>
        </is>
      </c>
      <c r="D66" s="38" t="inlineStr">
        <is>
          <t>B2B อื่นๆ</t>
        </is>
      </c>
      <c r="E66" s="38" t="inlineStr">
        <is>
          <t>LKT. 2026-02 -PL682</t>
        </is>
      </c>
      <c r="F66" s="38" t="n"/>
      <c r="G66" s="38" t="inlineStr">
        <is>
          <t>เสาไฟถนน</t>
        </is>
      </c>
      <c r="H66" s="40" t="inlineStr">
        <is>
          <t>฿55.00</t>
        </is>
      </c>
      <c r="I66" s="41" t="n">
        <v>685387.5</v>
      </c>
      <c r="J66" s="41" t="n">
        <v>47977.13</v>
      </c>
      <c r="K66" s="41" t="n">
        <v>733364.63</v>
      </c>
      <c r="L66" s="38" t="inlineStr">
        <is>
          <t>📋 ติดตาม</t>
        </is>
      </c>
      <c r="M66" s="38" t="inlineStr">
        <is>
          <t>กลาง</t>
        </is>
      </c>
      <c r="N66" s="38" t="n">
        <v>1</v>
      </c>
      <c r="O66" s="38" t="inlineStr">
        <is>
          <t>—</t>
        </is>
      </c>
      <c r="P66" s="38" t="n"/>
      <c r="Q66" s="38" t="n"/>
      <c r="R66" s="38" t="n"/>
      <c r="S66" s="38" t="n"/>
    </row>
    <row r="67" ht="15" customHeight="1">
      <c r="A67" s="38" t="inlineStr">
        <is>
          <t>PL683</t>
        </is>
      </c>
      <c r="B67" s="38" t="inlineStr">
        <is>
          <t>2026-02</t>
        </is>
      </c>
      <c r="C67" s="39" t="inlineStr">
        <is>
          <t>ศิรประภาก่อสร้าง</t>
        </is>
      </c>
      <c r="D67" s="38" t="inlineStr">
        <is>
          <t>B2B อื่นๆ</t>
        </is>
      </c>
      <c r="E67" s="38" t="inlineStr">
        <is>
          <t>LKT. 2026-01 -PL683</t>
        </is>
      </c>
      <c r="F67" s="38" t="n"/>
      <c r="G67" s="38" t="inlineStr">
        <is>
          <t>เสาไฟถนน</t>
        </is>
      </c>
      <c r="H67" s="40" t="inlineStr">
        <is>
          <t>Pole With Bracket 9M-T4-TR</t>
        </is>
      </c>
      <c r="I67" s="41" t="n">
        <v>626857</v>
      </c>
      <c r="J67" s="41" t="n">
        <v>43879.99</v>
      </c>
      <c r="K67" s="41" t="n">
        <v>670736.99</v>
      </c>
      <c r="L67" s="38" t="inlineStr">
        <is>
          <t>📋 ติดตาม</t>
        </is>
      </c>
      <c r="M67" s="38" t="inlineStr">
        <is>
          <t>กลาง</t>
        </is>
      </c>
      <c r="N67" s="38" t="n">
        <v>1</v>
      </c>
      <c r="O67" s="38" t="inlineStr">
        <is>
          <t>—</t>
        </is>
      </c>
      <c r="P67" s="38" t="n"/>
      <c r="Q67" s="38" t="n"/>
      <c r="R67" s="38" t="n"/>
      <c r="S67" s="38" t="n"/>
    </row>
    <row r="68" ht="15" customHeight="1">
      <c r="A68" s="38" t="inlineStr">
        <is>
          <t>PL684</t>
        </is>
      </c>
      <c r="B68" s="38" t="inlineStr">
        <is>
          <t>2026-02</t>
        </is>
      </c>
      <c r="C68" s="39" t="inlineStr">
        <is>
          <t>บางน้อย</t>
        </is>
      </c>
      <c r="D68" s="38" t="inlineStr">
        <is>
          <t>B2B อื่นๆ</t>
        </is>
      </c>
      <c r="E68" s="38" t="inlineStr">
        <is>
          <t>LKT. 2026-02 -PL684</t>
        </is>
      </c>
      <c r="F68" s="38" t="n"/>
      <c r="G68" s="38" t="inlineStr">
        <is>
          <t>เสาไฟถนน</t>
        </is>
      </c>
      <c r="H68" s="40" t="inlineStr">
        <is>
          <t>Pole With Bracket 9M-T4-TR</t>
        </is>
      </c>
      <c r="I68" s="41" t="n">
        <v>539117.6</v>
      </c>
      <c r="J68" s="41" t="n">
        <v>37738.23</v>
      </c>
      <c r="K68" s="41" t="n">
        <v>576855.83</v>
      </c>
      <c r="L68" s="38" t="inlineStr">
        <is>
          <t>📋 ติดตาม</t>
        </is>
      </c>
      <c r="M68" s="38" t="inlineStr">
        <is>
          <t>กลาง</t>
        </is>
      </c>
      <c r="N68" s="38" t="n">
        <v>1</v>
      </c>
      <c r="O68" s="38" t="inlineStr">
        <is>
          <t>—</t>
        </is>
      </c>
      <c r="P68" s="38" t="n"/>
      <c r="Q68" s="38" t="n"/>
      <c r="R68" s="38" t="n"/>
      <c r="S68" s="38" t="n"/>
    </row>
    <row r="69" ht="15" customHeight="1">
      <c r="A69" s="38" t="inlineStr">
        <is>
          <t>PL685</t>
        </is>
      </c>
      <c r="B69" s="38" t="inlineStr">
        <is>
          <t>2026-02</t>
        </is>
      </c>
      <c r="C69" s="39" t="inlineStr">
        <is>
          <t>เทอร์ม เอ็นจิเนียริ่ง</t>
        </is>
      </c>
      <c r="D69" s="38" t="inlineStr">
        <is>
          <t>B2B อื่นๆ</t>
        </is>
      </c>
      <c r="E69" s="38" t="inlineStr">
        <is>
          <t>LKT. 2026-02 -PL685</t>
        </is>
      </c>
      <c r="F69" s="38" t="n"/>
      <c r="G69" s="38" t="inlineStr">
        <is>
          <t>เสาไฟถนน</t>
        </is>
      </c>
      <c r="H69" s="40" t="inlineStr">
        <is>
          <t>เสาสายลอฟา 30M</t>
        </is>
      </c>
      <c r="I69" s="41" t="n">
        <v>441196</v>
      </c>
      <c r="J69" s="41" t="n">
        <v>30883.72</v>
      </c>
      <c r="K69" s="41" t="n">
        <v>472079.72</v>
      </c>
      <c r="L69" s="38" t="inlineStr">
        <is>
          <t>📋 ติดตาม</t>
        </is>
      </c>
      <c r="M69" s="38" t="inlineStr">
        <is>
          <t>กลาง</t>
        </is>
      </c>
      <c r="N69" s="38" t="n">
        <v>1</v>
      </c>
      <c r="O69" s="38" t="inlineStr">
        <is>
          <t>—</t>
        </is>
      </c>
      <c r="P69" s="38" t="n"/>
      <c r="Q69" s="38" t="n"/>
      <c r="R69" s="38" t="n"/>
      <c r="S69" s="38" t="n"/>
    </row>
    <row r="70" ht="15" customHeight="1">
      <c r="A70" s="46" t="inlineStr">
        <is>
          <t>PL686</t>
        </is>
      </c>
      <c r="B70" s="46" t="inlineStr">
        <is>
          <t>2026-02</t>
        </is>
      </c>
      <c r="C70" s="47" t="inlineStr">
        <is>
          <t>เดือนสวรรค์</t>
        </is>
      </c>
      <c r="D70" s="46" t="inlineStr">
        <is>
          <t>B2B อื่นๆ</t>
        </is>
      </c>
      <c r="E70" s="46" t="inlineStr">
        <is>
          <t>LKT. 2026-02 -PL686</t>
        </is>
      </c>
      <c r="F70" s="46" t="n"/>
      <c r="G70" s="46" t="inlineStr">
        <is>
          <t>เสาไฟถนน</t>
        </is>
      </c>
      <c r="H70" s="48" t="inlineStr">
        <is>
          <t>Post Top Pole 8M-T4-TR</t>
        </is>
      </c>
      <c r="I70" s="49" t="n">
        <v>89376</v>
      </c>
      <c r="J70" s="49" t="n">
        <v>6256.32</v>
      </c>
      <c r="K70" s="49" t="n">
        <v>95632.32000000001</v>
      </c>
      <c r="L70" s="46" t="inlineStr">
        <is>
          <t>⚪ รอผล</t>
        </is>
      </c>
      <c r="M70" s="46" t="inlineStr">
        <is>
          <t>ต่ำ</t>
        </is>
      </c>
      <c r="N70" s="46" t="n">
        <v>1</v>
      </c>
      <c r="O70" s="46" t="inlineStr">
        <is>
          <t>—</t>
        </is>
      </c>
      <c r="P70" s="46" t="n"/>
      <c r="Q70" s="46" t="n"/>
      <c r="R70" s="46" t="n"/>
      <c r="S70" s="46" t="n"/>
    </row>
    <row r="71" ht="15" customHeight="1">
      <c r="A71" s="46" t="inlineStr">
        <is>
          <t>PL687</t>
        </is>
      </c>
      <c r="B71" s="46" t="inlineStr">
        <is>
          <t>2026-02</t>
        </is>
      </c>
      <c r="C71" s="47" t="inlineStr">
        <is>
          <t>อินโน ซิสเต็ม</t>
        </is>
      </c>
      <c r="D71" s="46" t="inlineStr">
        <is>
          <t>B2B อื่นๆ</t>
        </is>
      </c>
      <c r="E71" s="46" t="inlineStr">
        <is>
          <t>LKT. 2026-01 -PL687</t>
        </is>
      </c>
      <c r="F71" s="46" t="n"/>
      <c r="G71" s="46" t="inlineStr">
        <is>
          <t>Electrical Accessories</t>
        </is>
      </c>
      <c r="H71" s="48" t="inlineStr">
        <is>
          <t>ชุด Breaker RCBO 2P 10A 230V 1 SET</t>
        </is>
      </c>
      <c r="I71" s="49" t="n">
        <v>51129</v>
      </c>
      <c r="J71" s="49" t="n">
        <v>3579.03</v>
      </c>
      <c r="K71" s="49" t="n">
        <v>54708.03</v>
      </c>
      <c r="L71" s="46" t="inlineStr">
        <is>
          <t>⚪ รอผล</t>
        </is>
      </c>
      <c r="M71" s="46" t="inlineStr">
        <is>
          <t>ต่ำ</t>
        </is>
      </c>
      <c r="N71" s="46" t="n">
        <v>1</v>
      </c>
      <c r="O71" s="46" t="inlineStr">
        <is>
          <t>—</t>
        </is>
      </c>
      <c r="P71" s="46" t="n"/>
      <c r="Q71" s="46" t="n"/>
      <c r="R71" s="46" t="n"/>
      <c r="S71" s="46" t="n"/>
    </row>
    <row r="72" ht="15" customHeight="1">
      <c r="A72" s="46" t="inlineStr">
        <is>
          <t>PL688</t>
        </is>
      </c>
      <c r="B72" s="46" t="inlineStr">
        <is>
          <t>2026-02</t>
        </is>
      </c>
      <c r="C72" s="47" t="inlineStr">
        <is>
          <t>โพรเซส</t>
        </is>
      </c>
      <c r="D72" s="46" t="inlineStr">
        <is>
          <t>B2B อื่นๆ</t>
        </is>
      </c>
      <c r="E72" s="46" t="inlineStr">
        <is>
          <t>LKT. 2026-02 -PL688</t>
        </is>
      </c>
      <c r="F72" s="46" t="n"/>
      <c r="G72" s="46" t="inlineStr">
        <is>
          <t>Hardware / Accessories</t>
        </is>
      </c>
      <c r="H72" s="48" t="inlineStr">
        <is>
          <t>Set L-Bolt M32 L800 PCD619</t>
        </is>
      </c>
      <c r="I72" s="49" t="n">
        <v>57432</v>
      </c>
      <c r="J72" s="49" t="n">
        <v>4020.24</v>
      </c>
      <c r="K72" s="49" t="n">
        <v>61452.24</v>
      </c>
      <c r="L72" s="46" t="inlineStr">
        <is>
          <t>⚪ รอผล</t>
        </is>
      </c>
      <c r="M72" s="46" t="inlineStr">
        <is>
          <t>ต่ำ</t>
        </is>
      </c>
      <c r="N72" s="46" t="n">
        <v>1</v>
      </c>
      <c r="O72" s="46" t="inlineStr">
        <is>
          <t>—</t>
        </is>
      </c>
      <c r="P72" s="46" t="n"/>
      <c r="Q72" s="46" t="n"/>
      <c r="R72" s="46" t="n"/>
      <c r="S72" s="46" t="n"/>
    </row>
    <row r="73" ht="15" customHeight="1">
      <c r="A73" s="42" t="inlineStr">
        <is>
          <t>PL689</t>
        </is>
      </c>
      <c r="B73" s="42" t="inlineStr">
        <is>
          <t>2026-02</t>
        </is>
      </c>
      <c r="C73" s="43" t="inlineStr">
        <is>
          <t>หจก.ชนก อิเล็คทริค</t>
        </is>
      </c>
      <c r="D73" s="42" t="inlineStr">
        <is>
          <t>B2B หจก.</t>
        </is>
      </c>
      <c r="E73" s="42" t="inlineStr">
        <is>
          <t>LKT. 2026-02 -PL688</t>
        </is>
      </c>
      <c r="F73" s="42" t="n"/>
      <c r="G73" s="42" t="inlineStr">
        <is>
          <t>LED Floodlight</t>
        </is>
      </c>
      <c r="H73" s="44" t="inlineStr">
        <is>
          <t>BTFL-ZC03-LED FLOODLIGHT 400W/6500K</t>
        </is>
      </c>
      <c r="I73" s="45" t="n">
        <v>1972740</v>
      </c>
      <c r="J73" s="45" t="n">
        <v>138091.8</v>
      </c>
      <c r="K73" s="45" t="n">
        <v>2110831.8</v>
      </c>
      <c r="L73" s="42" t="inlineStr">
        <is>
          <t>📞 ติดตาม-High</t>
        </is>
      </c>
      <c r="M73" s="42" t="inlineStr">
        <is>
          <t>สูง</t>
        </is>
      </c>
      <c r="N73" s="42" t="n">
        <v>1</v>
      </c>
      <c r="O73" s="42" t="inlineStr">
        <is>
          <t>—</t>
        </is>
      </c>
      <c r="P73" s="42" t="n"/>
      <c r="Q73" s="42" t="n"/>
      <c r="R73" s="42" t="n"/>
      <c r="S73" s="42" t="n"/>
    </row>
    <row r="74" ht="15" customHeight="1">
      <c r="A74" s="38" t="inlineStr">
        <is>
          <t>PL690</t>
        </is>
      </c>
      <c r="B74" s="38" t="inlineStr">
        <is>
          <t>2026-02</t>
        </is>
      </c>
      <c r="C74" s="39" t="inlineStr">
        <is>
          <t>สยามเอ็กซ์เทน</t>
        </is>
      </c>
      <c r="D74" s="38" t="inlineStr">
        <is>
          <t>B2B อื่นๆ</t>
        </is>
      </c>
      <c r="E74" s="38" t="inlineStr">
        <is>
          <t>LKT. 2026-02 -PL690</t>
        </is>
      </c>
      <c r="F74" s="38" t="n"/>
      <c r="G74" s="38" t="inlineStr">
        <is>
          <t>High Mast</t>
        </is>
      </c>
      <c r="H74" s="40" t="inlineStr">
        <is>
          <t>High mast Pole 20 M วงแหวน 6 โคม เหล็ก 4.5 มม.</t>
        </is>
      </c>
      <c r="I74" s="41" t="n">
        <v>281808.8</v>
      </c>
      <c r="J74" s="41" t="n">
        <v>19726.62</v>
      </c>
      <c r="K74" s="41" t="n">
        <v>301535.42</v>
      </c>
      <c r="L74" s="38" t="inlineStr">
        <is>
          <t>📋 ติดตาม</t>
        </is>
      </c>
      <c r="M74" s="38" t="inlineStr">
        <is>
          <t>กลาง</t>
        </is>
      </c>
      <c r="N74" s="38" t="n">
        <v>1</v>
      </c>
      <c r="O74" s="38" t="inlineStr">
        <is>
          <t>—</t>
        </is>
      </c>
      <c r="P74" s="38" t="n"/>
      <c r="Q74" s="38" t="n"/>
      <c r="R74" s="38" t="n"/>
      <c r="S74" s="38" t="n"/>
    </row>
    <row r="75" ht="15" customHeight="1">
      <c r="A75" s="42" t="inlineStr">
        <is>
          <t>PL691</t>
        </is>
      </c>
      <c r="B75" s="42" t="inlineStr">
        <is>
          <t>2026-02</t>
        </is>
      </c>
      <c r="C75" s="43" t="inlineStr">
        <is>
          <t>ยูเนี่ยนกัลวาไนซ์</t>
        </is>
      </c>
      <c r="D75" s="42" t="inlineStr">
        <is>
          <t>B2B อื่นๆ</t>
        </is>
      </c>
      <c r="E75" s="42" t="inlineStr">
        <is>
          <t>LKT. 2026-02 -PL691</t>
        </is>
      </c>
      <c r="F75" s="42" t="n"/>
      <c r="G75" s="42" t="inlineStr">
        <is>
          <t>High Mast</t>
        </is>
      </c>
      <c r="H75" s="44" t="inlineStr">
        <is>
          <t>High mast Pole 30 M วงแหวน 10 โคม เหล็ก 6.0,4.5 มม.</t>
        </is>
      </c>
      <c r="I75" s="45" t="n">
        <v>994896</v>
      </c>
      <c r="J75" s="45" t="n">
        <v>69642.72</v>
      </c>
      <c r="K75" s="45" t="n">
        <v>1064538.72</v>
      </c>
      <c r="L75" s="42" t="inlineStr">
        <is>
          <t>📞 ติดตาม-High</t>
        </is>
      </c>
      <c r="M75" s="42" t="inlineStr">
        <is>
          <t>สูง</t>
        </is>
      </c>
      <c r="N75" s="42" t="n">
        <v>1</v>
      </c>
      <c r="O75" s="42" t="inlineStr">
        <is>
          <t>—</t>
        </is>
      </c>
      <c r="P75" s="42" t="n"/>
      <c r="Q75" s="42" t="n"/>
      <c r="R75" s="42" t="n"/>
      <c r="S75" s="42" t="n"/>
    </row>
    <row r="76" ht="15" customHeight="1">
      <c r="A76" s="46" t="inlineStr">
        <is>
          <t>PL692</t>
        </is>
      </c>
      <c r="B76" s="46" t="inlineStr">
        <is>
          <t>2026-02</t>
        </is>
      </c>
      <c r="C76" s="47" t="inlineStr">
        <is>
          <t>เวลโกรว์</t>
        </is>
      </c>
      <c r="D76" s="46" t="inlineStr">
        <is>
          <t>B2B อื่นๆ</t>
        </is>
      </c>
      <c r="E76" s="46" t="inlineStr">
        <is>
          <t>LKT. 2026-02 -PL692</t>
        </is>
      </c>
      <c r="F76" s="46" t="n"/>
      <c r="G76" s="46" t="inlineStr">
        <is>
          <t>เสาไฟถนน</t>
        </is>
      </c>
      <c r="H76" s="48" t="inlineStr">
        <is>
          <t>Pole With Bracket 8M-T4-TR</t>
        </is>
      </c>
      <c r="I76" s="49" t="n">
        <v>15523.2</v>
      </c>
      <c r="J76" s="49" t="n">
        <v>1086.62</v>
      </c>
      <c r="K76" s="49" t="n">
        <v>16609.82</v>
      </c>
      <c r="L76" s="46" t="inlineStr">
        <is>
          <t>⚪ รอผล</t>
        </is>
      </c>
      <c r="M76" s="46" t="inlineStr">
        <is>
          <t>ต่ำ</t>
        </is>
      </c>
      <c r="N76" s="46" t="n">
        <v>1</v>
      </c>
      <c r="O76" s="46" t="inlineStr">
        <is>
          <t>—</t>
        </is>
      </c>
      <c r="P76" s="46" t="n"/>
      <c r="Q76" s="46" t="n"/>
      <c r="R76" s="46" t="n"/>
      <c r="S76" s="46" t="n"/>
    </row>
    <row r="77" ht="15" customHeight="1">
      <c r="A77" s="46" t="inlineStr">
        <is>
          <t>PL693</t>
        </is>
      </c>
      <c r="B77" s="46" t="inlineStr">
        <is>
          <t>2026-02</t>
        </is>
      </c>
      <c r="C77" s="47" t="inlineStr">
        <is>
          <t>บางน้อย</t>
        </is>
      </c>
      <c r="D77" s="46" t="inlineStr">
        <is>
          <t>B2B อื่นๆ</t>
        </is>
      </c>
      <c r="E77" s="46" t="inlineStr">
        <is>
          <t>LKT. 2026-02 -PL693</t>
        </is>
      </c>
      <c r="F77" s="46" t="n"/>
      <c r="G77" s="46" t="inlineStr">
        <is>
          <t>Hardware / Accessories</t>
        </is>
      </c>
      <c r="H77" s="48" t="inlineStr">
        <is>
          <t>PLATE 350x350x8t (C-C250 mm. Slot70x30 mm.)</t>
        </is>
      </c>
      <c r="I77" s="49" t="n">
        <v>46471.6</v>
      </c>
      <c r="J77" s="49" t="n">
        <v>3253.01</v>
      </c>
      <c r="K77" s="49" t="n">
        <v>49724.61</v>
      </c>
      <c r="L77" s="46" t="inlineStr">
        <is>
          <t>⚪ รอผล</t>
        </is>
      </c>
      <c r="M77" s="46" t="inlineStr">
        <is>
          <t>ต่ำ</t>
        </is>
      </c>
      <c r="N77" s="46" t="n">
        <v>1</v>
      </c>
      <c r="O77" s="46" t="inlineStr">
        <is>
          <t>—</t>
        </is>
      </c>
      <c r="P77" s="46" t="n"/>
      <c r="Q77" s="46" t="n"/>
      <c r="R77" s="46" t="n"/>
      <c r="S77" s="46" t="n"/>
    </row>
    <row r="78" ht="15" customHeight="1">
      <c r="A78" s="38" t="inlineStr">
        <is>
          <t>PL694</t>
        </is>
      </c>
      <c r="B78" s="38" t="inlineStr">
        <is>
          <t>2026-02</t>
        </is>
      </c>
      <c r="C78" s="39" t="inlineStr">
        <is>
          <t>บริษัท อ่าวดุ้ (ประเทศไทย) จำกัด</t>
        </is>
      </c>
      <c r="D78" s="38" t="inlineStr">
        <is>
          <t>B2B บริษัท</t>
        </is>
      </c>
      <c r="E78" s="38" t="inlineStr">
        <is>
          <t>LKT. 2026-02 -PL694</t>
        </is>
      </c>
      <c r="F78" s="38" t="n"/>
      <c r="G78" s="38" t="inlineStr">
        <is>
          <t>อื่นๆ</t>
        </is>
      </c>
      <c r="H78" s="40" t="inlineStr">
        <is>
          <t>อื่นๆ</t>
        </is>
      </c>
      <c r="I78" s="41" t="n">
        <v>545000</v>
      </c>
      <c r="J78" s="41" t="n">
        <v>38150</v>
      </c>
      <c r="K78" s="41" t="n">
        <v>583150</v>
      </c>
      <c r="L78" s="38" t="inlineStr">
        <is>
          <t>📋 ติดตาม</t>
        </is>
      </c>
      <c r="M78" s="38" t="inlineStr">
        <is>
          <t>กลาง</t>
        </is>
      </c>
      <c r="N78" s="38" t="n">
        <v>0</v>
      </c>
      <c r="O78" s="38" t="inlineStr">
        <is>
          <t>—</t>
        </is>
      </c>
      <c r="P78" s="38" t="n"/>
      <c r="Q78" s="38" t="n"/>
      <c r="R78" s="38" t="n"/>
      <c r="S78" s="38" t="n"/>
    </row>
    <row r="79" ht="15" customHeight="1">
      <c r="A79" s="46" t="inlineStr">
        <is>
          <t>PL695</t>
        </is>
      </c>
      <c r="B79" s="46" t="inlineStr">
        <is>
          <t>2026-02</t>
        </is>
      </c>
      <c r="C79" s="47" t="inlineStr">
        <is>
          <t>สามช้าง กรุ๊ป</t>
        </is>
      </c>
      <c r="D79" s="46" t="inlineStr">
        <is>
          <t>B2B อื่นๆ</t>
        </is>
      </c>
      <c r="E79" s="46" t="inlineStr">
        <is>
          <t>LKT. 2026-02 -PL695</t>
        </is>
      </c>
      <c r="F79" s="46" t="n"/>
      <c r="G79" s="46" t="inlineStr">
        <is>
          <t>อื่นๆ</t>
        </is>
      </c>
      <c r="H79" s="48" t="inlineStr">
        <is>
          <t>อื่นๆ</t>
        </is>
      </c>
      <c r="I79" s="49" t="n">
        <v>71001</v>
      </c>
      <c r="J79" s="49" t="n">
        <v>4970.07</v>
      </c>
      <c r="K79" s="49" t="n">
        <v>75971.07000000001</v>
      </c>
      <c r="L79" s="46" t="inlineStr">
        <is>
          <t>⚪ รอผล</t>
        </is>
      </c>
      <c r="M79" s="46" t="inlineStr">
        <is>
          <t>ต่ำ</t>
        </is>
      </c>
      <c r="N79" s="46" t="n">
        <v>0</v>
      </c>
      <c r="O79" s="46" t="inlineStr">
        <is>
          <t>—</t>
        </is>
      </c>
      <c r="P79" s="46" t="n"/>
      <c r="Q79" s="46" t="n"/>
      <c r="R79" s="46" t="n"/>
      <c r="S79" s="46" t="n"/>
    </row>
    <row r="80" ht="15" customHeight="1">
      <c r="A80" s="38" t="inlineStr">
        <is>
          <t>PL696</t>
        </is>
      </c>
      <c r="B80" s="38" t="inlineStr">
        <is>
          <t>2026-02</t>
        </is>
      </c>
      <c r="C80" s="39" t="inlineStr">
        <is>
          <t>TK Electric -Split Type</t>
        </is>
      </c>
      <c r="D80" s="38" t="inlineStr">
        <is>
          <t>B2B อื่นๆ</t>
        </is>
      </c>
      <c r="E80" s="38" t="inlineStr">
        <is>
          <t>LKT. 2026-02 -PL696</t>
        </is>
      </c>
      <c r="F80" s="38" t="n"/>
      <c r="G80" s="38" t="inlineStr">
        <is>
          <t>อื่นๆ</t>
        </is>
      </c>
      <c r="H80" s="40" t="inlineStr">
        <is>
          <t>อื่นๆ</t>
        </is>
      </c>
      <c r="I80" s="41" t="n">
        <v>382200</v>
      </c>
      <c r="J80" s="41" t="n">
        <v>26754</v>
      </c>
      <c r="K80" s="41" t="n">
        <v>408954</v>
      </c>
      <c r="L80" s="38" t="inlineStr">
        <is>
          <t>📋 ติดตาม</t>
        </is>
      </c>
      <c r="M80" s="38" t="inlineStr">
        <is>
          <t>กลาง</t>
        </is>
      </c>
      <c r="N80" s="38" t="n">
        <v>0</v>
      </c>
      <c r="O80" s="38" t="inlineStr">
        <is>
          <t>—</t>
        </is>
      </c>
      <c r="P80" s="38" t="n"/>
      <c r="Q80" s="38" t="n"/>
      <c r="R80" s="38" t="n"/>
      <c r="S80" s="38" t="n"/>
    </row>
    <row r="81" ht="15" customHeight="1">
      <c r="A81" s="38" t="inlineStr">
        <is>
          <t>PL697</t>
        </is>
      </c>
      <c r="B81" s="38" t="inlineStr">
        <is>
          <t>2026-02</t>
        </is>
      </c>
      <c r="C81" s="39" t="inlineStr">
        <is>
          <t>อาริยะ กรุ๊ป</t>
        </is>
      </c>
      <c r="D81" s="38" t="inlineStr">
        <is>
          <t>B2B อื่นๆ</t>
        </is>
      </c>
      <c r="E81" s="38" t="inlineStr">
        <is>
          <t>LKT. 2026-02 -PL697</t>
        </is>
      </c>
      <c r="F81" s="38" t="n"/>
      <c r="G81" s="38" t="inlineStr">
        <is>
          <t>High Mast</t>
        </is>
      </c>
      <c r="H81" s="40" t="inlineStr">
        <is>
          <t>High mast Pole 20 M วงแหวน 6 โคม เหล็ก 3.2 มม.</t>
        </is>
      </c>
      <c r="I81" s="41" t="n">
        <v>601994.4</v>
      </c>
      <c r="J81" s="41" t="n">
        <v>42139.61</v>
      </c>
      <c r="K81" s="41" t="n">
        <v>644134.01</v>
      </c>
      <c r="L81" s="38" t="inlineStr">
        <is>
          <t>📋 ติดตาม</t>
        </is>
      </c>
      <c r="M81" s="38" t="inlineStr">
        <is>
          <t>กลาง</t>
        </is>
      </c>
      <c r="N81" s="38" t="n">
        <v>1</v>
      </c>
      <c r="O81" s="38" t="inlineStr">
        <is>
          <t>—</t>
        </is>
      </c>
      <c r="P81" s="38" t="n"/>
      <c r="Q81" s="38" t="n"/>
      <c r="R81" s="38" t="n"/>
      <c r="S81" s="38" t="n"/>
    </row>
    <row r="82" ht="15" customHeight="1">
      <c r="A82" s="38" t="inlineStr">
        <is>
          <t>PL698</t>
        </is>
      </c>
      <c r="B82" s="38" t="inlineStr">
        <is>
          <t>2026-02</t>
        </is>
      </c>
      <c r="C82" s="39" t="inlineStr">
        <is>
          <t>เอ็ม สปอร์ต</t>
        </is>
      </c>
      <c r="D82" s="38" t="inlineStr">
        <is>
          <t>B2B อื่นๆ</t>
        </is>
      </c>
      <c r="E82" s="38" t="inlineStr">
        <is>
          <t>LKT. 2026-02 -PL698</t>
        </is>
      </c>
      <c r="F82" s="38" t="n"/>
      <c r="G82" s="38" t="inlineStr">
        <is>
          <t>อื่นๆ</t>
        </is>
      </c>
      <c r="H82" s="40" t="inlineStr">
        <is>
          <t>อื่นๆ</t>
        </is>
      </c>
      <c r="I82" s="41" t="n">
        <v>284200</v>
      </c>
      <c r="J82" s="41" t="n">
        <v>19894</v>
      </c>
      <c r="K82" s="41" t="n">
        <v>304094</v>
      </c>
      <c r="L82" s="38" t="inlineStr">
        <is>
          <t>📋 ติดตาม</t>
        </is>
      </c>
      <c r="M82" s="38" t="inlineStr">
        <is>
          <t>กลาง</t>
        </is>
      </c>
      <c r="N82" s="38" t="n">
        <v>0</v>
      </c>
      <c r="O82" s="38" t="inlineStr">
        <is>
          <t>—</t>
        </is>
      </c>
      <c r="P82" s="38" t="n"/>
      <c r="Q82" s="38" t="n"/>
      <c r="R82" s="38" t="n"/>
      <c r="S82" s="38" t="n"/>
    </row>
    <row r="83" ht="15" customHeight="1">
      <c r="A83" s="46" t="inlineStr">
        <is>
          <t>PL699</t>
        </is>
      </c>
      <c r="B83" s="46" t="inlineStr">
        <is>
          <t>2026-02</t>
        </is>
      </c>
      <c r="C83" s="47" t="inlineStr">
        <is>
          <t>จิ่วหลงไทย</t>
        </is>
      </c>
      <c r="D83" s="46" t="inlineStr">
        <is>
          <t>B2B อื่นๆ</t>
        </is>
      </c>
      <c r="E83" s="46" t="inlineStr">
        <is>
          <t>LKT. 2026-02 -PL699</t>
        </is>
      </c>
      <c r="F83" s="46" t="n"/>
      <c r="G83" s="46" t="inlineStr">
        <is>
          <t>อื่นๆ</t>
        </is>
      </c>
      <c r="H83" s="48" t="inlineStr">
        <is>
          <t>อื่นๆ</t>
        </is>
      </c>
      <c r="I83" s="49" t="n">
        <v>4205.61</v>
      </c>
      <c r="J83" s="49" t="n">
        <v>294.39</v>
      </c>
      <c r="K83" s="49" t="n">
        <v>4500</v>
      </c>
      <c r="L83" s="46" t="inlineStr">
        <is>
          <t>⚪ รอผล</t>
        </is>
      </c>
      <c r="M83" s="46" t="inlineStr">
        <is>
          <t>ต่ำ</t>
        </is>
      </c>
      <c r="N83" s="46" t="n">
        <v>0</v>
      </c>
      <c r="O83" s="46" t="inlineStr">
        <is>
          <t>—</t>
        </is>
      </c>
      <c r="P83" s="46" t="n"/>
      <c r="Q83" s="46" t="n"/>
      <c r="R83" s="46" t="n"/>
      <c r="S83" s="46" t="n"/>
    </row>
    <row r="84" ht="15" customHeight="1">
      <c r="A84" s="46" t="inlineStr">
        <is>
          <t>PL700</t>
        </is>
      </c>
      <c r="B84" s="46" t="inlineStr">
        <is>
          <t>2026-02</t>
        </is>
      </c>
      <c r="C84" s="47" t="inlineStr">
        <is>
          <t>ภควัต</t>
        </is>
      </c>
      <c r="D84" s="46" t="inlineStr">
        <is>
          <t>B2B อื่นๆ</t>
        </is>
      </c>
      <c r="E84" s="46" t="inlineStr">
        <is>
          <t>LKT. 2026-02-700</t>
        </is>
      </c>
      <c r="F84" s="46" t="n"/>
      <c r="G84" s="46" t="inlineStr">
        <is>
          <t>เสาไฟถนน</t>
        </is>
      </c>
      <c r="H84" s="48" t="inlineStr">
        <is>
          <t>Pole With Bracket 6M-T4-TR</t>
        </is>
      </c>
      <c r="I84" s="49" t="n">
        <v>147686</v>
      </c>
      <c r="J84" s="49" t="n">
        <v>10338.02</v>
      </c>
      <c r="K84" s="49" t="n">
        <v>158024.02</v>
      </c>
      <c r="L84" s="46" t="inlineStr">
        <is>
          <t>⚪ รอผล</t>
        </is>
      </c>
      <c r="M84" s="46" t="inlineStr">
        <is>
          <t>ต่ำ</t>
        </is>
      </c>
      <c r="N84" s="46" t="n">
        <v>1</v>
      </c>
      <c r="O84" s="46" t="inlineStr">
        <is>
          <t>—</t>
        </is>
      </c>
      <c r="P84" s="46" t="n"/>
      <c r="Q84" s="46" t="n"/>
      <c r="R84" s="46" t="n"/>
      <c r="S84" s="46" t="n"/>
    </row>
    <row r="85" ht="15" customHeight="1">
      <c r="A85" s="42" t="inlineStr">
        <is>
          <t>PL701</t>
        </is>
      </c>
      <c r="B85" s="42" t="inlineStr">
        <is>
          <t>2026-02</t>
        </is>
      </c>
      <c r="C85" s="43" t="inlineStr">
        <is>
          <t>กรมท่าอากาศ</t>
        </is>
      </c>
      <c r="D85" s="42" t="inlineStr">
        <is>
          <t>B2G ภาครัฐ</t>
        </is>
      </c>
      <c r="E85" s="42" t="inlineStr">
        <is>
          <t>LKT. 2026-02 -PL701</t>
        </is>
      </c>
      <c r="F85" s="42" t="n"/>
      <c r="G85" s="42" t="inlineStr">
        <is>
          <t>High Mast</t>
        </is>
      </c>
      <c r="H85" s="44" t="inlineStr">
        <is>
          <t>High Mast 25M+Support 3ชั้น H1400 L3400 12โคม</t>
        </is>
      </c>
      <c r="I85" s="45" t="n">
        <v>1404750</v>
      </c>
      <c r="J85" s="45" t="n">
        <v>98332.5</v>
      </c>
      <c r="K85" s="45" t="n">
        <v>1503082.5</v>
      </c>
      <c r="L85" s="42" t="inlineStr">
        <is>
          <t>📞 ติดตาม-High</t>
        </is>
      </c>
      <c r="M85" s="42" t="inlineStr">
        <is>
          <t>สูง</t>
        </is>
      </c>
      <c r="N85" s="42" t="n">
        <v>1</v>
      </c>
      <c r="O85" s="42" t="inlineStr">
        <is>
          <t>—</t>
        </is>
      </c>
      <c r="P85" s="42" t="n"/>
      <c r="Q85" s="42" t="n"/>
      <c r="R85" s="42" t="n"/>
      <c r="S85" s="42" t="n"/>
    </row>
    <row r="86" ht="15" customHeight="1">
      <c r="A86" s="38" t="inlineStr">
        <is>
          <t>PL702</t>
        </is>
      </c>
      <c r="B86" s="38" t="inlineStr">
        <is>
          <t>2026-02</t>
        </is>
      </c>
      <c r="C86" s="39" t="inlineStr">
        <is>
          <t>ไอซีซี</t>
        </is>
      </c>
      <c r="D86" s="38" t="inlineStr">
        <is>
          <t>B2B อื่นๆ</t>
        </is>
      </c>
      <c r="E86" s="38" t="inlineStr">
        <is>
          <t>LKT. 2026-02 -PL702</t>
        </is>
      </c>
      <c r="F86" s="38" t="n"/>
      <c r="G86" s="38" t="inlineStr">
        <is>
          <t>High Mast</t>
        </is>
      </c>
      <c r="H86" s="40" t="inlineStr">
        <is>
          <t>High mast Pole 25 M วงแหวน 8 โคม เหล็ก 6.0,4.5 มม.</t>
        </is>
      </c>
      <c r="I86" s="41" t="n">
        <v>470361.6</v>
      </c>
      <c r="J86" s="41" t="n">
        <v>32925.31</v>
      </c>
      <c r="K86" s="41" t="n">
        <v>503286.91</v>
      </c>
      <c r="L86" s="38" t="inlineStr">
        <is>
          <t>📋 ติดตาม</t>
        </is>
      </c>
      <c r="M86" s="38" t="inlineStr">
        <is>
          <t>กลาง</t>
        </is>
      </c>
      <c r="N86" s="38" t="n">
        <v>1</v>
      </c>
      <c r="O86" s="38" t="inlineStr">
        <is>
          <t>—</t>
        </is>
      </c>
      <c r="P86" s="38" t="n"/>
      <c r="Q86" s="38" t="n"/>
      <c r="R86" s="38" t="n"/>
      <c r="S86" s="38" t="n"/>
    </row>
    <row r="87" ht="15" customHeight="1">
      <c r="A87" s="46" t="inlineStr">
        <is>
          <t>PL703</t>
        </is>
      </c>
      <c r="B87" s="46" t="inlineStr">
        <is>
          <t>2026-02</t>
        </is>
      </c>
      <c r="C87" s="47" t="inlineStr">
        <is>
          <t>ป.ประสงค์ทรัพย์</t>
        </is>
      </c>
      <c r="D87" s="46" t="inlineStr">
        <is>
          <t>B2B อื่นๆ</t>
        </is>
      </c>
      <c r="E87" s="46" t="inlineStr">
        <is>
          <t>LKT. 2026-02 -PL703</t>
        </is>
      </c>
      <c r="F87" s="46" t="n"/>
      <c r="G87" s="46" t="inlineStr">
        <is>
          <t>High Mast</t>
        </is>
      </c>
      <c r="H87" s="48" t="inlineStr">
        <is>
          <t>Pole With Bracket 11M-T4-TR</t>
        </is>
      </c>
      <c r="I87" s="49" t="n">
        <v>177870</v>
      </c>
      <c r="J87" s="49" t="n">
        <v>12450.9</v>
      </c>
      <c r="K87" s="49" t="n">
        <v>190320.9</v>
      </c>
      <c r="L87" s="46" t="inlineStr">
        <is>
          <t>⚪ รอผล</t>
        </is>
      </c>
      <c r="M87" s="46" t="inlineStr">
        <is>
          <t>ต่ำ</t>
        </is>
      </c>
      <c r="N87" s="46" t="n">
        <v>1</v>
      </c>
      <c r="O87" s="46" t="inlineStr">
        <is>
          <t>—</t>
        </is>
      </c>
      <c r="P87" s="46" t="n"/>
      <c r="Q87" s="46" t="n"/>
      <c r="R87" s="46" t="n"/>
      <c r="S87" s="46" t="n"/>
    </row>
    <row r="88" ht="15" customHeight="1">
      <c r="A88" s="46" t="inlineStr">
        <is>
          <t>PL704</t>
        </is>
      </c>
      <c r="B88" s="46" t="inlineStr">
        <is>
          <t>2026-02</t>
        </is>
      </c>
      <c r="C88" s="47" t="inlineStr">
        <is>
          <t>ประดิษฐ์</t>
        </is>
      </c>
      <c r="D88" s="46" t="inlineStr">
        <is>
          <t>B2B อื่นๆ</t>
        </is>
      </c>
      <c r="E88" s="46" t="inlineStr">
        <is>
          <t>LKT. 2026-02 -PL704</t>
        </is>
      </c>
      <c r="F88" s="46" t="n"/>
      <c r="G88" s="46" t="inlineStr">
        <is>
          <t>อื่นๆ</t>
        </is>
      </c>
      <c r="H88" s="48" t="inlineStr">
        <is>
          <t>อื่นๆ</t>
        </is>
      </c>
      <c r="I88" s="49" t="n">
        <v>231828.8</v>
      </c>
      <c r="J88" s="49" t="n">
        <v>16228.02</v>
      </c>
      <c r="K88" s="49" t="n">
        <v>248056.82</v>
      </c>
      <c r="L88" s="46" t="inlineStr">
        <is>
          <t>⚪ รอผล</t>
        </is>
      </c>
      <c r="M88" s="46" t="inlineStr">
        <is>
          <t>ต่ำ</t>
        </is>
      </c>
      <c r="N88" s="46" t="n">
        <v>0</v>
      </c>
      <c r="O88" s="46" t="inlineStr">
        <is>
          <t>—</t>
        </is>
      </c>
      <c r="P88" s="46" t="n"/>
      <c r="Q88" s="46" t="n"/>
      <c r="R88" s="46" t="n"/>
      <c r="S88" s="46" t="n"/>
    </row>
    <row r="89" ht="15" customHeight="1">
      <c r="A89" s="46" t="inlineStr">
        <is>
          <t>PL705</t>
        </is>
      </c>
      <c r="B89" s="46" t="inlineStr">
        <is>
          <t>2026-02</t>
        </is>
      </c>
      <c r="C89" s="47" t="inlineStr">
        <is>
          <t>ทองหยก</t>
        </is>
      </c>
      <c r="D89" s="46" t="inlineStr">
        <is>
          <t>B2B อื่นๆ</t>
        </is>
      </c>
      <c r="E89" s="46" t="inlineStr">
        <is>
          <t>LKT. 2026-02 -PL705</t>
        </is>
      </c>
      <c r="F89" s="46" t="n"/>
      <c r="G89" s="46" t="inlineStr">
        <is>
          <t>เสาไฟถนน</t>
        </is>
      </c>
      <c r="H89" s="48" t="inlineStr">
        <is>
          <t>Post Top Pole 8M-T4-TR</t>
        </is>
      </c>
      <c r="I89" s="49" t="n">
        <v>134946</v>
      </c>
      <c r="J89" s="49" t="n">
        <v>9446.219999999999</v>
      </c>
      <c r="K89" s="49" t="n">
        <v>144392.22</v>
      </c>
      <c r="L89" s="46" t="inlineStr">
        <is>
          <t>⚪ รอผล</t>
        </is>
      </c>
      <c r="M89" s="46" t="inlineStr">
        <is>
          <t>ต่ำ</t>
        </is>
      </c>
      <c r="N89" s="46" t="n">
        <v>1</v>
      </c>
      <c r="O89" s="46" t="inlineStr">
        <is>
          <t>—</t>
        </is>
      </c>
      <c r="P89" s="46" t="n"/>
      <c r="Q89" s="46" t="n"/>
      <c r="R89" s="46" t="n"/>
      <c r="S89" s="46" t="n"/>
    </row>
    <row r="90" ht="15" customHeight="1">
      <c r="A90" s="46" t="inlineStr">
        <is>
          <t>PL706</t>
        </is>
      </c>
      <c r="B90" s="46" t="inlineStr">
        <is>
          <t>2026-02</t>
        </is>
      </c>
      <c r="C90" s="47" t="inlineStr">
        <is>
          <t>PT บริษัท อาร์เอช เท็คท์ แอสโซบิลด์ จำกัด</t>
        </is>
      </c>
      <c r="D90" s="46" t="inlineStr">
        <is>
          <t>B2B บริษัท</t>
        </is>
      </c>
      <c r="E90" s="46" t="inlineStr">
        <is>
          <t>LKT. 2026-02-PL706</t>
        </is>
      </c>
      <c r="F90" s="46" t="n"/>
      <c r="G90" s="46" t="inlineStr">
        <is>
          <t>LED Streetlight</t>
        </is>
      </c>
      <c r="H90" s="48" t="inlineStr">
        <is>
          <t>LED Streetlight 150W 5700K 23,250lm REV.1</t>
        </is>
      </c>
      <c r="I90" s="49" t="n">
        <v>166200</v>
      </c>
      <c r="J90" s="49" t="n">
        <v>11634</v>
      </c>
      <c r="K90" s="49" t="n">
        <v>177834</v>
      </c>
      <c r="L90" s="46" t="inlineStr">
        <is>
          <t>⚪ รอผล</t>
        </is>
      </c>
      <c r="M90" s="46" t="inlineStr">
        <is>
          <t>ต่ำ</t>
        </is>
      </c>
      <c r="N90" s="46" t="n">
        <v>1</v>
      </c>
      <c r="O90" s="46" t="inlineStr">
        <is>
          <t>—</t>
        </is>
      </c>
      <c r="P90" s="46" t="n"/>
      <c r="Q90" s="46" t="n"/>
      <c r="R90" s="46" t="n"/>
      <c r="S90" s="46" t="n"/>
    </row>
    <row r="91" ht="15" customHeight="1">
      <c r="A91" s="46" t="inlineStr">
        <is>
          <t>PL707</t>
        </is>
      </c>
      <c r="B91" s="46" t="inlineStr">
        <is>
          <t>2026-02</t>
        </is>
      </c>
      <c r="C91" s="47" t="inlineStr">
        <is>
          <t>พี เอ เคลม</t>
        </is>
      </c>
      <c r="D91" s="46" t="inlineStr">
        <is>
          <t>B2B อื่นๆ</t>
        </is>
      </c>
      <c r="E91" s="46" t="inlineStr">
        <is>
          <t>LKT. 2026-02 -PL707</t>
        </is>
      </c>
      <c r="F91" s="46" t="n"/>
      <c r="G91" s="46" t="inlineStr">
        <is>
          <t>อื่นๆ</t>
        </is>
      </c>
      <c r="H91" s="48" t="inlineStr">
        <is>
          <t>อื่นๆ</t>
        </is>
      </c>
      <c r="I91" s="49" t="n">
        <v>14953.28</v>
      </c>
      <c r="J91" s="49" t="n">
        <v>1046.73</v>
      </c>
      <c r="K91" s="49" t="n">
        <v>16000.01</v>
      </c>
      <c r="L91" s="46" t="inlineStr">
        <is>
          <t>⚪ รอผล</t>
        </is>
      </c>
      <c r="M91" s="46" t="inlineStr">
        <is>
          <t>ต่ำ</t>
        </is>
      </c>
      <c r="N91" s="46" t="n">
        <v>0</v>
      </c>
      <c r="O91" s="46" t="inlineStr">
        <is>
          <t>—</t>
        </is>
      </c>
      <c r="P91" s="46" t="n"/>
      <c r="Q91" s="46" t="n"/>
      <c r="R91" s="46" t="n"/>
      <c r="S91" s="46" t="n"/>
    </row>
    <row r="92" ht="15" customHeight="1">
      <c r="A92" s="42" t="inlineStr">
        <is>
          <t>PL708</t>
        </is>
      </c>
      <c r="B92" s="42" t="inlineStr">
        <is>
          <t>2026-02</t>
        </is>
      </c>
      <c r="C92" s="43" t="inlineStr">
        <is>
          <t>บ.เอส.บี.อินดัสทรี ซัพพลาย R01</t>
        </is>
      </c>
      <c r="D92" s="42" t="inlineStr">
        <is>
          <t>B2B อื่นๆ</t>
        </is>
      </c>
      <c r="E92" s="42" t="inlineStr">
        <is>
          <t>LKT. 2026-02 -PL707</t>
        </is>
      </c>
      <c r="F92" s="42" t="n"/>
      <c r="G92" s="42" t="inlineStr">
        <is>
          <t>High Mast</t>
        </is>
      </c>
      <c r="H92" s="44" t="inlineStr">
        <is>
          <t>High mast Pole 15 M วงแหวน 8 โคม เหล็ก 4.5 มม.</t>
        </is>
      </c>
      <c r="I92" s="45" t="n">
        <v>1458847.6</v>
      </c>
      <c r="J92" s="45" t="n">
        <v>102119.33</v>
      </c>
      <c r="K92" s="45" t="n">
        <v>1560966.93</v>
      </c>
      <c r="L92" s="42" t="inlineStr">
        <is>
          <t>📞 ติดตาม-High</t>
        </is>
      </c>
      <c r="M92" s="42" t="inlineStr">
        <is>
          <t>สูง</t>
        </is>
      </c>
      <c r="N92" s="42" t="n">
        <v>1</v>
      </c>
      <c r="O92" s="42" t="inlineStr">
        <is>
          <t>—</t>
        </is>
      </c>
      <c r="P92" s="42" t="n"/>
      <c r="Q92" s="42" t="n"/>
      <c r="R92" s="42" t="n"/>
      <c r="S92" s="42" t="n"/>
    </row>
    <row r="93" ht="15" customHeight="1">
      <c r="A93" s="46" t="inlineStr">
        <is>
          <t>PL709</t>
        </is>
      </c>
      <c r="B93" s="46" t="inlineStr">
        <is>
          <t>2026-02</t>
        </is>
      </c>
      <c r="C93" s="47" t="inlineStr">
        <is>
          <t>เลคิเซ่ เอฟแอนด์เอฟ</t>
        </is>
      </c>
      <c r="D93" s="46" t="inlineStr">
        <is>
          <t>B2B อื่นๆ</t>
        </is>
      </c>
      <c r="E93" s="46" t="inlineStr">
        <is>
          <t>LKT. 2026-01 -PL646</t>
        </is>
      </c>
      <c r="F93" s="46" t="inlineStr">
        <is>
          <t>19 มกราคม 2026</t>
        </is>
      </c>
      <c r="G93" s="46" t="inlineStr">
        <is>
          <t>เสาไฟถนน</t>
        </is>
      </c>
      <c r="H93" s="48" t="inlineStr">
        <is>
          <t>Pole With Bracket H6.71M4.5tmm.+แร็คไฟฟา7ชอง</t>
        </is>
      </c>
      <c r="I93" s="49" t="n">
        <v>130092</v>
      </c>
      <c r="J93" s="49" t="n">
        <v>9106.440000000001</v>
      </c>
      <c r="K93" s="49" t="n">
        <v>139198.44</v>
      </c>
      <c r="L93" s="46" t="inlineStr">
        <is>
          <t>⚪ รอผล</t>
        </is>
      </c>
      <c r="M93" s="46" t="inlineStr">
        <is>
          <t>ต่ำ</t>
        </is>
      </c>
      <c r="N93" s="46" t="n">
        <v>1</v>
      </c>
      <c r="O93" s="46" t="inlineStr">
        <is>
          <t>—</t>
        </is>
      </c>
      <c r="P93" s="46" t="n"/>
      <c r="Q93" s="46" t="n"/>
      <c r="R93" s="46" t="n"/>
      <c r="S93" s="46" t="n"/>
    </row>
    <row r="94" ht="15" customHeight="1">
      <c r="A94" s="46" t="inlineStr">
        <is>
          <t>PL710</t>
        </is>
      </c>
      <c r="B94" s="46" t="inlineStr">
        <is>
          <t>2026-02</t>
        </is>
      </c>
      <c r="C94" s="47" t="inlineStr">
        <is>
          <t>บ.เอสอีซีที</t>
        </is>
      </c>
      <c r="D94" s="46" t="inlineStr">
        <is>
          <t>B2B อื่นๆ</t>
        </is>
      </c>
      <c r="E94" s="46" t="inlineStr">
        <is>
          <t>LKT. 2026-02 -PL710</t>
        </is>
      </c>
      <c r="F94" s="46" t="n"/>
      <c r="G94" s="46" t="inlineStr">
        <is>
          <t>เสาไฟถนน</t>
        </is>
      </c>
      <c r="H94" s="48" t="inlineStr">
        <is>
          <t>เสากลมตรง 7''OD190.7 H10m</t>
        </is>
      </c>
      <c r="I94" s="49" t="n">
        <v>155820</v>
      </c>
      <c r="J94" s="49" t="n">
        <v>10907.4</v>
      </c>
      <c r="K94" s="49" t="n">
        <v>166727.4</v>
      </c>
      <c r="L94" s="46" t="inlineStr">
        <is>
          <t>⚪ รอผล</t>
        </is>
      </c>
      <c r="M94" s="46" t="inlineStr">
        <is>
          <t>ต่ำ</t>
        </is>
      </c>
      <c r="N94" s="46" t="n">
        <v>1</v>
      </c>
      <c r="O94" s="46" t="inlineStr">
        <is>
          <t>—</t>
        </is>
      </c>
      <c r="P94" s="46" t="n"/>
      <c r="Q94" s="46" t="n"/>
      <c r="R94" s="46" t="n"/>
      <c r="S94" s="46" t="n"/>
    </row>
    <row r="95" ht="15" customHeight="1">
      <c r="A95" s="46" t="inlineStr">
        <is>
          <t>PL711</t>
        </is>
      </c>
      <c r="B95" s="46" t="inlineStr">
        <is>
          <t>2026-02</t>
        </is>
      </c>
      <c r="C95" s="47" t="inlineStr">
        <is>
          <t>นายกเทศบาลนครขอนแก่น</t>
        </is>
      </c>
      <c r="D95" s="46" t="inlineStr">
        <is>
          <t>B2G อปท.</t>
        </is>
      </c>
      <c r="E95" s="46" t="inlineStr">
        <is>
          <t>LKT. 2026-02 -PL711</t>
        </is>
      </c>
      <c r="F95" s="46" t="n"/>
      <c r="G95" s="46" t="inlineStr">
        <is>
          <t>High Mast</t>
        </is>
      </c>
      <c r="H95" s="48" t="inlineStr">
        <is>
          <t>High mast Pole 15 M วงแหวน 8 โคม เหล็ก 4.5 มม.</t>
        </is>
      </c>
      <c r="I95" s="49" t="n">
        <v>139140.4</v>
      </c>
      <c r="J95" s="49" t="n">
        <v>9739.83</v>
      </c>
      <c r="K95" s="49" t="n">
        <v>148880.23</v>
      </c>
      <c r="L95" s="46" t="inlineStr">
        <is>
          <t>⚪ รอผล</t>
        </is>
      </c>
      <c r="M95" s="46" t="inlineStr">
        <is>
          <t>ต่ำ</t>
        </is>
      </c>
      <c r="N95" s="46" t="n">
        <v>1</v>
      </c>
      <c r="O95" s="46" t="inlineStr">
        <is>
          <t>—</t>
        </is>
      </c>
      <c r="P95" s="46" t="n"/>
      <c r="Q95" s="46" t="n"/>
      <c r="R95" s="46" t="n"/>
      <c r="S95" s="46" t="n"/>
    </row>
    <row r="96" ht="15" customHeight="1">
      <c r="A96" s="46" t="inlineStr">
        <is>
          <t>PL712</t>
        </is>
      </c>
      <c r="B96" s="46" t="inlineStr">
        <is>
          <t>2026-02</t>
        </is>
      </c>
      <c r="C96" s="47" t="inlineStr">
        <is>
          <t>R01  วีระยุทธ</t>
        </is>
      </c>
      <c r="D96" s="46" t="inlineStr">
        <is>
          <t>B2B อื่นๆ</t>
        </is>
      </c>
      <c r="E96" s="46" t="inlineStr">
        <is>
          <t>LKT. 2026-02 -PL712</t>
        </is>
      </c>
      <c r="F96" s="46" t="n"/>
      <c r="G96" s="46" t="inlineStr">
        <is>
          <t>เสาไฟถนน</t>
        </is>
      </c>
      <c r="H96" s="48" t="inlineStr">
        <is>
          <t>Pole With Bracket 6M-T4-TR</t>
        </is>
      </c>
      <c r="I96" s="49" t="n">
        <v>27616.4</v>
      </c>
      <c r="J96" s="49" t="n">
        <v>1933.15</v>
      </c>
      <c r="K96" s="49" t="n">
        <v>29549.55</v>
      </c>
      <c r="L96" s="46" t="inlineStr">
        <is>
          <t>⚪ รอผล</t>
        </is>
      </c>
      <c r="M96" s="46" t="inlineStr">
        <is>
          <t>ต่ำ</t>
        </is>
      </c>
      <c r="N96" s="46" t="n">
        <v>1</v>
      </c>
      <c r="O96" s="46" t="inlineStr">
        <is>
          <t>—</t>
        </is>
      </c>
      <c r="P96" s="46" t="n"/>
      <c r="Q96" s="46" t="n"/>
      <c r="R96" s="46" t="n"/>
      <c r="S96" s="46" t="n"/>
    </row>
    <row r="97" ht="15" customHeight="1">
      <c r="A97" s="38" t="inlineStr">
        <is>
          <t>PL713</t>
        </is>
      </c>
      <c r="B97" s="38" t="inlineStr">
        <is>
          <t>2026-02</t>
        </is>
      </c>
      <c r="C97" s="39" t="inlineStr">
        <is>
          <t>แซทคอมส์</t>
        </is>
      </c>
      <c r="D97" s="38" t="inlineStr">
        <is>
          <t>B2B อื่นๆ</t>
        </is>
      </c>
      <c r="E97" s="38" t="n"/>
      <c r="F97" s="38" t="n"/>
      <c r="G97" s="38" t="inlineStr">
        <is>
          <t>อื่นๆ</t>
        </is>
      </c>
      <c r="H97" s="40" t="inlineStr">
        <is>
          <t>อื่นๆ</t>
        </is>
      </c>
      <c r="I97" s="41" t="n">
        <v>453152</v>
      </c>
      <c r="J97" s="41" t="n">
        <v>31720.64</v>
      </c>
      <c r="K97" s="41" t="n">
        <v>484872.64</v>
      </c>
      <c r="L97" s="38" t="inlineStr">
        <is>
          <t>📋 ติดตาม</t>
        </is>
      </c>
      <c r="M97" s="38" t="inlineStr">
        <is>
          <t>กลาง</t>
        </is>
      </c>
      <c r="N97" s="38" t="n">
        <v>0</v>
      </c>
      <c r="O97" s="38" t="inlineStr">
        <is>
          <t>—</t>
        </is>
      </c>
      <c r="P97" s="38" t="n"/>
      <c r="Q97" s="38" t="n"/>
      <c r="R97" s="38" t="n"/>
      <c r="S97" s="38" t="n"/>
    </row>
    <row r="98" ht="15" customHeight="1">
      <c r="A98" s="46" t="inlineStr">
        <is>
          <t>PL715</t>
        </is>
      </c>
      <c r="B98" s="46" t="inlineStr">
        <is>
          <t>2026-02</t>
        </is>
      </c>
      <c r="C98" s="47" t="inlineStr">
        <is>
          <t>ไลท์อัพ เสา</t>
        </is>
      </c>
      <c r="D98" s="46" t="inlineStr">
        <is>
          <t>B2B อื่นๆ</t>
        </is>
      </c>
      <c r="E98" s="46" t="inlineStr">
        <is>
          <t>LKT. 2026-02-715</t>
        </is>
      </c>
      <c r="F98" s="46" t="n"/>
      <c r="G98" s="46" t="inlineStr">
        <is>
          <t>เสาไฟถนน</t>
        </is>
      </c>
      <c r="H98" s="48" t="inlineStr">
        <is>
          <t>Pole With Bracket 6M-T4-TR</t>
        </is>
      </c>
      <c r="I98" s="49" t="n">
        <v>76675.2</v>
      </c>
      <c r="J98" s="49" t="n">
        <v>5367.26</v>
      </c>
      <c r="K98" s="49" t="n">
        <v>82042.46000000001</v>
      </c>
      <c r="L98" s="46" t="inlineStr">
        <is>
          <t>⚪ รอผล</t>
        </is>
      </c>
      <c r="M98" s="46" t="inlineStr">
        <is>
          <t>ต่ำ</t>
        </is>
      </c>
      <c r="N98" s="46" t="n">
        <v>1</v>
      </c>
      <c r="O98" s="46" t="inlineStr">
        <is>
          <t>—</t>
        </is>
      </c>
      <c r="P98" s="46" t="n"/>
      <c r="Q98" s="46" t="n"/>
      <c r="R98" s="46" t="n"/>
      <c r="S98" s="46" t="n"/>
    </row>
    <row r="99" ht="15" customHeight="1">
      <c r="A99" s="38" t="inlineStr">
        <is>
          <t>PL716</t>
        </is>
      </c>
      <c r="B99" s="38" t="inlineStr">
        <is>
          <t>2026-02</t>
        </is>
      </c>
      <c r="C99" s="39" t="inlineStr">
        <is>
          <t>บี เอ็ม เค</t>
        </is>
      </c>
      <c r="D99" s="38" t="inlineStr">
        <is>
          <t>B2B อื่นๆ</t>
        </is>
      </c>
      <c r="E99" s="38" t="inlineStr">
        <is>
          <t>LKT. 2026-02 -PL716</t>
        </is>
      </c>
      <c r="F99" s="38" t="n"/>
      <c r="G99" s="38" t="inlineStr">
        <is>
          <t>High Mast</t>
        </is>
      </c>
      <c r="H99" s="40" t="inlineStr">
        <is>
          <t>High mast Pole 25 M วงแหวน 8 โคม เหล็ก 6.0,4.5 มม.</t>
        </is>
      </c>
      <c r="I99" s="41" t="n">
        <v>810793.2</v>
      </c>
      <c r="J99" s="41" t="n">
        <v>56755.52</v>
      </c>
      <c r="K99" s="41" t="n">
        <v>867548.72</v>
      </c>
      <c r="L99" s="38" t="inlineStr">
        <is>
          <t>📋 ติดตาม</t>
        </is>
      </c>
      <c r="M99" s="38" t="inlineStr">
        <is>
          <t>กลาง</t>
        </is>
      </c>
      <c r="N99" s="38" t="n">
        <v>1</v>
      </c>
      <c r="O99" s="38" t="inlineStr">
        <is>
          <t>—</t>
        </is>
      </c>
      <c r="P99" s="38" t="n"/>
      <c r="Q99" s="38" t="n"/>
      <c r="R99" s="38" t="n"/>
      <c r="S99" s="38" t="n"/>
    </row>
    <row r="100" ht="15" customHeight="1">
      <c r="A100" s="46" t="inlineStr">
        <is>
          <t>PL717</t>
        </is>
      </c>
      <c r="B100" s="46" t="inlineStr">
        <is>
          <t>2026-02</t>
        </is>
      </c>
      <c r="C100" s="47" t="inlineStr">
        <is>
          <t>บจก.อินโนเอซ กรุ๊ป</t>
        </is>
      </c>
      <c r="D100" s="46" t="inlineStr">
        <is>
          <t>B2B อื่นๆ</t>
        </is>
      </c>
      <c r="E100" s="46" t="inlineStr">
        <is>
          <t>LKT. 2026-02 -PL717</t>
        </is>
      </c>
      <c r="F100" s="46" t="n"/>
      <c r="G100" s="46" t="inlineStr">
        <is>
          <t>เสาไฟถนน</t>
        </is>
      </c>
      <c r="H100" s="48" t="inlineStr">
        <is>
          <t>Pole With Bracket 7M-T4-TR</t>
        </is>
      </c>
      <c r="I100" s="49" t="n">
        <v>64405.6</v>
      </c>
      <c r="J100" s="49" t="n">
        <v>4508.39</v>
      </c>
      <c r="K100" s="49" t="n">
        <v>68913.99000000001</v>
      </c>
      <c r="L100" s="46" t="inlineStr">
        <is>
          <t>⚪ รอผล</t>
        </is>
      </c>
      <c r="M100" s="46" t="inlineStr">
        <is>
          <t>ต่ำ</t>
        </is>
      </c>
      <c r="N100" s="46" t="n">
        <v>1</v>
      </c>
      <c r="O100" s="46" t="inlineStr">
        <is>
          <t>—</t>
        </is>
      </c>
      <c r="P100" s="46" t="n"/>
      <c r="Q100" s="46" t="n"/>
      <c r="R100" s="46" t="n"/>
      <c r="S100" s="46" t="n"/>
    </row>
    <row r="101" ht="15" customHeight="1">
      <c r="A101" s="38" t="inlineStr">
        <is>
          <t>PL718</t>
        </is>
      </c>
      <c r="B101" s="38" t="inlineStr">
        <is>
          <t>2026-02</t>
        </is>
      </c>
      <c r="C101" s="39" t="inlineStr">
        <is>
          <t>บ.อินทิกริตี้ เซอร์วิส</t>
        </is>
      </c>
      <c r="D101" s="38" t="inlineStr">
        <is>
          <t>B2B อื่นๆ</t>
        </is>
      </c>
      <c r="E101" s="38" t="inlineStr">
        <is>
          <t>LKT. 2026-02 -PL718</t>
        </is>
      </c>
      <c r="F101" s="38" t="n"/>
      <c r="G101" s="38" t="inlineStr">
        <is>
          <t>High Mast</t>
        </is>
      </c>
      <c r="H101" s="40" t="inlineStr">
        <is>
          <t>High Mast 25M+Support 3ชั้น H1400 L3400 12โคม</t>
        </is>
      </c>
      <c r="I101" s="41" t="n">
        <v>295060</v>
      </c>
      <c r="J101" s="41" t="n">
        <v>20654.2</v>
      </c>
      <c r="K101" s="41" t="n">
        <v>315714.2</v>
      </c>
      <c r="L101" s="38" t="inlineStr">
        <is>
          <t>📋 ติดตาม</t>
        </is>
      </c>
      <c r="M101" s="38" t="inlineStr">
        <is>
          <t>กลาง</t>
        </is>
      </c>
      <c r="N101" s="38" t="n">
        <v>1</v>
      </c>
      <c r="O101" s="38" t="inlineStr">
        <is>
          <t>—</t>
        </is>
      </c>
      <c r="P101" s="38" t="n"/>
      <c r="Q101" s="38" t="n"/>
      <c r="R101" s="38" t="n"/>
      <c r="S101" s="38" t="n"/>
    </row>
    <row r="102" ht="15" customHeight="1">
      <c r="A102" s="46" t="inlineStr">
        <is>
          <t>PL719</t>
        </is>
      </c>
      <c r="B102" s="46" t="inlineStr">
        <is>
          <t>2026-02</t>
        </is>
      </c>
      <c r="C102" s="47" t="inlineStr">
        <is>
          <t>สมปอง</t>
        </is>
      </c>
      <c r="D102" s="46" t="inlineStr">
        <is>
          <t>B2B อื่นๆ</t>
        </is>
      </c>
      <c r="E102" s="46" t="inlineStr">
        <is>
          <t>LKT. 2026-02-719</t>
        </is>
      </c>
      <c r="F102" s="46" t="n"/>
      <c r="G102" s="46" t="inlineStr">
        <is>
          <t>High Mast</t>
        </is>
      </c>
      <c r="H102" s="48" t="inlineStr">
        <is>
          <t>High mast Pole 30 M วงแหวน 8 โคม เหล็ก 6.0,4.5 มม.</t>
        </is>
      </c>
      <c r="I102" s="49" t="n">
        <v>279574.4</v>
      </c>
      <c r="J102" s="49" t="n">
        <v>19570.21</v>
      </c>
      <c r="K102" s="49" t="n">
        <v>299144.61</v>
      </c>
      <c r="L102" s="46" t="inlineStr">
        <is>
          <t>⚪ รอผล</t>
        </is>
      </c>
      <c r="M102" s="46" t="inlineStr">
        <is>
          <t>ต่ำ</t>
        </is>
      </c>
      <c r="N102" s="46" t="n">
        <v>1</v>
      </c>
      <c r="O102" s="46" t="inlineStr">
        <is>
          <t>—</t>
        </is>
      </c>
      <c r="P102" s="46" t="n"/>
      <c r="Q102" s="46" t="n"/>
      <c r="R102" s="46" t="n"/>
      <c r="S102" s="46" t="n"/>
    </row>
    <row r="103" ht="15" customHeight="1">
      <c r="A103" s="46" t="inlineStr">
        <is>
          <t>PL720</t>
        </is>
      </c>
      <c r="B103" s="46" t="inlineStr">
        <is>
          <t>2026-02</t>
        </is>
      </c>
      <c r="C103" s="47" t="inlineStr">
        <is>
          <t>กัณฑพงษ์</t>
        </is>
      </c>
      <c r="D103" s="46" t="inlineStr">
        <is>
          <t>B2B อื่นๆ</t>
        </is>
      </c>
      <c r="E103" s="46" t="inlineStr">
        <is>
          <t>LKT. 2026-02 -PL680</t>
        </is>
      </c>
      <c r="F103" s="46" t="n"/>
      <c r="G103" s="46" t="inlineStr">
        <is>
          <t>Guard Rail / การ์ดเรล</t>
        </is>
      </c>
      <c r="H103" s="48" t="inlineStr">
        <is>
          <t>Pole With Bracket 9M-T4-TR</t>
        </is>
      </c>
      <c r="I103" s="49" t="n">
        <v>232848</v>
      </c>
      <c r="J103" s="49" t="n">
        <v>16299.36</v>
      </c>
      <c r="K103" s="49" t="n">
        <v>249147.36</v>
      </c>
      <c r="L103" s="46" t="inlineStr">
        <is>
          <t>⚪ รอผล</t>
        </is>
      </c>
      <c r="M103" s="46" t="inlineStr">
        <is>
          <t>ต่ำ</t>
        </is>
      </c>
      <c r="N103" s="46" t="n">
        <v>1</v>
      </c>
      <c r="O103" s="46" t="inlineStr">
        <is>
          <t>—</t>
        </is>
      </c>
      <c r="P103" s="46" t="n"/>
      <c r="Q103" s="46" t="n"/>
      <c r="R103" s="46" t="n"/>
      <c r="S103" s="46" t="n"/>
    </row>
    <row r="104" ht="15" customHeight="1">
      <c r="A104" s="42" t="inlineStr">
        <is>
          <t>PL721</t>
        </is>
      </c>
      <c r="B104" s="42" t="inlineStr">
        <is>
          <t>2026-02</t>
        </is>
      </c>
      <c r="C104" s="43" t="inlineStr">
        <is>
          <t>ไลท์อัพ</t>
        </is>
      </c>
      <c r="D104" s="42" t="inlineStr">
        <is>
          <t>B2B อื่นๆ</t>
        </is>
      </c>
      <c r="E104" s="42" t="inlineStr">
        <is>
          <t>LKT. 2026-02-721</t>
        </is>
      </c>
      <c r="F104" s="42" t="n"/>
      <c r="G104" s="42" t="inlineStr">
        <is>
          <t>High Mast</t>
        </is>
      </c>
      <c r="H104" s="44" t="inlineStr">
        <is>
          <t>High Mast 30 M PCD750 M42 12Holes + วงแหวน 2 ชั้น 12 โคม</t>
        </is>
      </c>
      <c r="I104" s="45" t="n">
        <v>1307712</v>
      </c>
      <c r="J104" s="45" t="n">
        <v>91539.84</v>
      </c>
      <c r="K104" s="45" t="n">
        <v>1399251.84</v>
      </c>
      <c r="L104" s="42" t="inlineStr">
        <is>
          <t>📞 ติดตาม-High</t>
        </is>
      </c>
      <c r="M104" s="42" t="inlineStr">
        <is>
          <t>สูง</t>
        </is>
      </c>
      <c r="N104" s="42" t="n">
        <v>1</v>
      </c>
      <c r="O104" s="42" t="inlineStr">
        <is>
          <t>—</t>
        </is>
      </c>
      <c r="P104" s="42" t="n"/>
      <c r="Q104" s="42" t="n"/>
      <c r="R104" s="42" t="n"/>
      <c r="S104" s="42" t="n"/>
    </row>
    <row r="105" ht="15" customHeight="1">
      <c r="A105" s="46" t="inlineStr">
        <is>
          <t>PL722</t>
        </is>
      </c>
      <c r="B105" s="46" t="inlineStr">
        <is>
          <t>2026-02</t>
        </is>
      </c>
      <c r="C105" s="47" t="inlineStr">
        <is>
          <t>ไอซีซี</t>
        </is>
      </c>
      <c r="D105" s="46" t="inlineStr">
        <is>
          <t>B2B อื่นๆ</t>
        </is>
      </c>
      <c r="E105" s="46" t="inlineStr">
        <is>
          <t>LKT. 2026-02 -PL722</t>
        </is>
      </c>
      <c r="F105" s="46" t="n"/>
      <c r="G105" s="46" t="inlineStr">
        <is>
          <t>อื่นๆ</t>
        </is>
      </c>
      <c r="H105" s="48" t="inlineStr">
        <is>
          <t>อื่นๆ</t>
        </is>
      </c>
      <c r="I105" s="49" t="n">
        <v>4000</v>
      </c>
      <c r="J105" s="49" t="n">
        <v>280</v>
      </c>
      <c r="K105" s="49" t="n">
        <v>4280</v>
      </c>
      <c r="L105" s="46" t="inlineStr">
        <is>
          <t>⚪ รอผล</t>
        </is>
      </c>
      <c r="M105" s="46" t="inlineStr">
        <is>
          <t>ต่ำ</t>
        </is>
      </c>
      <c r="N105" s="46" t="n">
        <v>0</v>
      </c>
      <c r="O105" s="46" t="inlineStr">
        <is>
          <t>—</t>
        </is>
      </c>
      <c r="P105" s="46" t="n"/>
      <c r="Q105" s="46" t="n"/>
      <c r="R105" s="46" t="n"/>
      <c r="S105" s="46" t="n"/>
    </row>
    <row r="106" ht="15" customHeight="1">
      <c r="A106" s="38" t="inlineStr">
        <is>
          <t>PL723</t>
        </is>
      </c>
      <c r="B106" s="38" t="inlineStr">
        <is>
          <t>2026-02</t>
        </is>
      </c>
      <c r="C106" s="39" t="n"/>
      <c r="D106" s="38" t="inlineStr">
        <is>
          <t>B2B อื่นๆ</t>
        </is>
      </c>
      <c r="E106" s="38" t="inlineStr">
        <is>
          <t>LKT. 2026-02-723</t>
        </is>
      </c>
      <c r="F106" s="38" t="n"/>
      <c r="G106" s="38" t="inlineStr">
        <is>
          <t>เสาไฟถนน</t>
        </is>
      </c>
      <c r="H106" s="40" t="inlineStr">
        <is>
          <t>Pole With Bracket OD60.5 H6M</t>
        </is>
      </c>
      <c r="I106" s="41" t="n">
        <v>386345.4</v>
      </c>
      <c r="J106" s="41" t="n">
        <v>27044.18</v>
      </c>
      <c r="K106" s="41" t="n">
        <v>413389.58</v>
      </c>
      <c r="L106" s="38" t="inlineStr">
        <is>
          <t>📋 ติดตาม</t>
        </is>
      </c>
      <c r="M106" s="38" t="inlineStr">
        <is>
          <t>กลาง</t>
        </is>
      </c>
      <c r="N106" s="38" t="n">
        <v>1</v>
      </c>
      <c r="O106" s="38" t="inlineStr">
        <is>
          <t>—</t>
        </is>
      </c>
      <c r="P106" s="38" t="n"/>
      <c r="Q106" s="38" t="n"/>
      <c r="R106" s="38" t="n"/>
      <c r="S106" s="38" t="n"/>
    </row>
    <row r="107" ht="15" customHeight="1">
      <c r="A107" s="38" t="inlineStr">
        <is>
          <t>PL725</t>
        </is>
      </c>
      <c r="B107" s="38" t="inlineStr">
        <is>
          <t>2026-02</t>
        </is>
      </c>
      <c r="C107" s="39" t="inlineStr">
        <is>
          <t>ที.เอ็ม.ซี.อุตสาหกรรม</t>
        </is>
      </c>
      <c r="D107" s="38" t="inlineStr">
        <is>
          <t>B2B อื่นๆ</t>
        </is>
      </c>
      <c r="E107" s="38" t="inlineStr">
        <is>
          <t>LKT. 2026-02 -PL724</t>
        </is>
      </c>
      <c r="F107" s="38" t="n"/>
      <c r="G107" s="38" t="inlineStr">
        <is>
          <t>เสาไฟถนน</t>
        </is>
      </c>
      <c r="H107" s="40" t="inlineStr">
        <is>
          <t>Pole With Bracket 12M-T4-TR</t>
        </is>
      </c>
      <c r="I107" s="41" t="n">
        <v>853717.2</v>
      </c>
      <c r="J107" s="41" t="n">
        <v>59760.2</v>
      </c>
      <c r="K107" s="41" t="n">
        <v>913477.4</v>
      </c>
      <c r="L107" s="38" t="inlineStr">
        <is>
          <t>📋 ติดตาม</t>
        </is>
      </c>
      <c r="M107" s="38" t="inlineStr">
        <is>
          <t>กลาง</t>
        </is>
      </c>
      <c r="N107" s="38" t="n">
        <v>1</v>
      </c>
      <c r="O107" s="38" t="inlineStr">
        <is>
          <t>—</t>
        </is>
      </c>
      <c r="P107" s="38" t="n"/>
      <c r="Q107" s="38" t="n"/>
      <c r="R107" s="38" t="n"/>
      <c r="S107" s="38" t="n"/>
    </row>
    <row r="108" ht="15" customHeight="1">
      <c r="A108" s="46" t="inlineStr">
        <is>
          <t>PL726</t>
        </is>
      </c>
      <c r="B108" s="46" t="inlineStr">
        <is>
          <t>2026-02</t>
        </is>
      </c>
      <c r="C108" s="47" t="inlineStr">
        <is>
          <t>ร้าน เอพี กรุ๊ป</t>
        </is>
      </c>
      <c r="D108" s="46" t="inlineStr">
        <is>
          <t>B2B Dealer</t>
        </is>
      </c>
      <c r="E108" s="46" t="inlineStr">
        <is>
          <t>LKT. 2026-02 -PL726</t>
        </is>
      </c>
      <c r="F108" s="46" t="n"/>
      <c r="G108" s="46" t="inlineStr">
        <is>
          <t>เสาไฟถนน</t>
        </is>
      </c>
      <c r="H108" s="48" t="inlineStr">
        <is>
          <t>Pole With Bracket 7M-T4-TR</t>
        </is>
      </c>
      <c r="I108" s="49" t="n">
        <v>270970</v>
      </c>
      <c r="J108" s="49" t="n">
        <v>18967.9</v>
      </c>
      <c r="K108" s="49" t="n">
        <v>289937.9</v>
      </c>
      <c r="L108" s="46" t="inlineStr">
        <is>
          <t>⚪ รอผล</t>
        </is>
      </c>
      <c r="M108" s="46" t="inlineStr">
        <is>
          <t>ต่ำ</t>
        </is>
      </c>
      <c r="N108" s="46" t="n">
        <v>1</v>
      </c>
      <c r="O108" s="46" t="inlineStr">
        <is>
          <t>—</t>
        </is>
      </c>
      <c r="P108" s="46" t="n"/>
      <c r="Q108" s="46" t="n"/>
      <c r="R108" s="46" t="n"/>
      <c r="S108" s="46" t="n"/>
    </row>
    <row r="109" ht="15" customHeight="1">
      <c r="A109" s="46" t="inlineStr">
        <is>
          <t>PL727</t>
        </is>
      </c>
      <c r="B109" s="46" t="inlineStr">
        <is>
          <t>2026-02</t>
        </is>
      </c>
      <c r="C109" s="47" t="inlineStr">
        <is>
          <t>กรุงเทพสนามจันทร์</t>
        </is>
      </c>
      <c r="D109" s="46" t="inlineStr">
        <is>
          <t>B2B อื่นๆ</t>
        </is>
      </c>
      <c r="E109" s="46" t="inlineStr">
        <is>
          <t>LKT. 2026-02-727</t>
        </is>
      </c>
      <c r="F109" s="46" t="n"/>
      <c r="G109" s="46" t="inlineStr">
        <is>
          <t>High Mast</t>
        </is>
      </c>
      <c r="H109" s="48" t="inlineStr">
        <is>
          <t>High mast Pole 15 M วงแหวน 6 โคม เหล็ก 4.5 มม.</t>
        </is>
      </c>
      <c r="I109" s="49" t="n">
        <v>238022.4</v>
      </c>
      <c r="J109" s="49" t="n">
        <v>16661.57</v>
      </c>
      <c r="K109" s="49" t="n">
        <v>254683.97</v>
      </c>
      <c r="L109" s="46" t="inlineStr">
        <is>
          <t>⚪ รอผล</t>
        </is>
      </c>
      <c r="M109" s="46" t="inlineStr">
        <is>
          <t>ต่ำ</t>
        </is>
      </c>
      <c r="N109" s="46" t="n">
        <v>1</v>
      </c>
      <c r="O109" s="46" t="inlineStr">
        <is>
          <t>—</t>
        </is>
      </c>
      <c r="P109" s="46" t="n"/>
      <c r="Q109" s="46" t="n"/>
      <c r="R109" s="46" t="n"/>
      <c r="S109" s="46" t="n"/>
    </row>
    <row r="110" ht="15" customHeight="1">
      <c r="A110" s="46" t="inlineStr">
        <is>
          <t>PL728</t>
        </is>
      </c>
      <c r="B110" s="46" t="inlineStr">
        <is>
          <t>2026-02</t>
        </is>
      </c>
      <c r="C110" s="47" t="inlineStr">
        <is>
          <t>เคนจิ</t>
        </is>
      </c>
      <c r="D110" s="46" t="inlineStr">
        <is>
          <t>B2B อื่นๆ</t>
        </is>
      </c>
      <c r="E110" s="46" t="inlineStr">
        <is>
          <t>LKT. 2026-02-728</t>
        </is>
      </c>
      <c r="F110" s="46" t="n"/>
      <c r="G110" s="46" t="inlineStr">
        <is>
          <t>LED Streetlight</t>
        </is>
      </c>
      <c r="H110" s="48" t="inlineStr">
        <is>
          <t>LED Streetlight 150W 5700K 23,250lm REV.2</t>
        </is>
      </c>
      <c r="I110" s="49" t="n">
        <v>80752</v>
      </c>
      <c r="J110" s="49" t="n">
        <v>5652.64</v>
      </c>
      <c r="K110" s="49" t="n">
        <v>86404.64</v>
      </c>
      <c r="L110" s="46" t="inlineStr">
        <is>
          <t>⚪ รอผล</t>
        </is>
      </c>
      <c r="M110" s="46" t="inlineStr">
        <is>
          <t>ต่ำ</t>
        </is>
      </c>
      <c r="N110" s="46" t="n">
        <v>1</v>
      </c>
      <c r="O110" s="46" t="inlineStr">
        <is>
          <t>—</t>
        </is>
      </c>
      <c r="P110" s="46" t="n"/>
      <c r="Q110" s="46" t="n"/>
      <c r="R110" s="46" t="n"/>
      <c r="S110" s="46" t="n"/>
    </row>
    <row r="111" ht="15" customHeight="1">
      <c r="A111" s="46" t="inlineStr">
        <is>
          <t>PL729</t>
        </is>
      </c>
      <c r="B111" s="46" t="inlineStr">
        <is>
          <t>2026-02</t>
        </is>
      </c>
      <c r="C111" s="47" t="inlineStr">
        <is>
          <t>บ.แอสกี้เทค</t>
        </is>
      </c>
      <c r="D111" s="46" t="inlineStr">
        <is>
          <t>B2B อื่นๆ</t>
        </is>
      </c>
      <c r="E111" s="46" t="inlineStr">
        <is>
          <t>LKT. 2026-02 -PL729</t>
        </is>
      </c>
      <c r="F111" s="46" t="n"/>
      <c r="G111" s="46" t="inlineStr">
        <is>
          <t>เสาไฟถนน</t>
        </is>
      </c>
      <c r="H111" s="48" t="inlineStr">
        <is>
          <t>Pole With Bracket 7M-T4-TR</t>
        </is>
      </c>
      <c r="I111" s="49" t="n">
        <v>81291</v>
      </c>
      <c r="J111" s="49" t="n">
        <v>5690.37</v>
      </c>
      <c r="K111" s="49" t="n">
        <v>86981.37</v>
      </c>
      <c r="L111" s="46" t="inlineStr">
        <is>
          <t>⚪ รอผล</t>
        </is>
      </c>
      <c r="M111" s="46" t="inlineStr">
        <is>
          <t>ต่ำ</t>
        </is>
      </c>
      <c r="N111" s="46" t="n">
        <v>1</v>
      </c>
      <c r="O111" s="46" t="inlineStr">
        <is>
          <t>—</t>
        </is>
      </c>
      <c r="P111" s="46" t="n"/>
      <c r="Q111" s="46" t="n"/>
      <c r="R111" s="46" t="n"/>
      <c r="S111" s="46" t="n"/>
    </row>
    <row r="112" ht="15" customHeight="1">
      <c r="A112" s="46" t="inlineStr">
        <is>
          <t>PL730</t>
        </is>
      </c>
      <c r="B112" s="46" t="inlineStr">
        <is>
          <t>2026-02</t>
        </is>
      </c>
      <c r="C112" s="47" t="inlineStr">
        <is>
          <t>บิ๊กแบร์</t>
        </is>
      </c>
      <c r="D112" s="46" t="inlineStr">
        <is>
          <t>B2B อื่นๆ</t>
        </is>
      </c>
      <c r="E112" s="46" t="inlineStr">
        <is>
          <t>LKT. 2026-02-730</t>
        </is>
      </c>
      <c r="F112" s="46" t="n"/>
      <c r="G112" s="46" t="inlineStr">
        <is>
          <t>เสาไฟถนน</t>
        </is>
      </c>
      <c r="H112" s="48" t="inlineStr">
        <is>
          <t>Pole With Bracket 7M-T4-TR</t>
        </is>
      </c>
      <c r="I112" s="49" t="n">
        <v>89866</v>
      </c>
      <c r="J112" s="49" t="n">
        <v>6290.62</v>
      </c>
      <c r="K112" s="49" t="n">
        <v>96156.62</v>
      </c>
      <c r="L112" s="46" t="inlineStr">
        <is>
          <t>⚪ รอผล</t>
        </is>
      </c>
      <c r="M112" s="46" t="inlineStr">
        <is>
          <t>ต่ำ</t>
        </is>
      </c>
      <c r="N112" s="46" t="n">
        <v>1</v>
      </c>
      <c r="O112" s="46" t="inlineStr">
        <is>
          <t>—</t>
        </is>
      </c>
      <c r="P112" s="46" t="n"/>
      <c r="Q112" s="46" t="n"/>
      <c r="R112" s="46" t="n"/>
      <c r="S112" s="46" t="n"/>
    </row>
    <row r="113" ht="15" customHeight="1">
      <c r="A113" s="46" t="inlineStr">
        <is>
          <t>PL731</t>
        </is>
      </c>
      <c r="B113" s="46" t="inlineStr">
        <is>
          <t>2026-02</t>
        </is>
      </c>
      <c r="C113" s="47" t="inlineStr">
        <is>
          <t>บ. เค.บี.เอ็ม.เทคโนโลยี่ส์</t>
        </is>
      </c>
      <c r="D113" s="46" t="inlineStr">
        <is>
          <t>B2B อื่นๆ</t>
        </is>
      </c>
      <c r="E113" s="46" t="inlineStr">
        <is>
          <t>LKT. 2026-02 -PL731</t>
        </is>
      </c>
      <c r="F113" s="46" t="n"/>
      <c r="G113" s="46" t="inlineStr">
        <is>
          <t>เสาไฟถนน</t>
        </is>
      </c>
      <c r="H113" s="48" t="inlineStr">
        <is>
          <t>Pole With Bracket 9M-T4-TR</t>
        </is>
      </c>
      <c r="I113" s="49" t="n">
        <v>34373.5</v>
      </c>
      <c r="J113" s="49" t="n">
        <v>2406.15</v>
      </c>
      <c r="K113" s="49" t="n">
        <v>36779.65</v>
      </c>
      <c r="L113" s="46" t="inlineStr">
        <is>
          <t>⚪ รอผล</t>
        </is>
      </c>
      <c r="M113" s="46" t="inlineStr">
        <is>
          <t>ต่ำ</t>
        </is>
      </c>
      <c r="N113" s="46" t="n">
        <v>1</v>
      </c>
      <c r="O113" s="46" t="inlineStr">
        <is>
          <t>—</t>
        </is>
      </c>
      <c r="P113" s="46" t="n"/>
      <c r="Q113" s="46" t="n"/>
      <c r="R113" s="46" t="n"/>
      <c r="S113" s="46" t="n"/>
    </row>
    <row r="114" ht="15" customHeight="1">
      <c r="A114" s="46" t="inlineStr">
        <is>
          <t>PL732</t>
        </is>
      </c>
      <c r="B114" s="46" t="inlineStr">
        <is>
          <t>2026-02</t>
        </is>
      </c>
      <c r="C114" s="47" t="inlineStr">
        <is>
          <t>สุชาบดี</t>
        </is>
      </c>
      <c r="D114" s="46" t="inlineStr">
        <is>
          <t>B2B อื่นๆ</t>
        </is>
      </c>
      <c r="E114" s="46" t="inlineStr">
        <is>
          <t>LKT. 2026-02-732</t>
        </is>
      </c>
      <c r="F114" s="46" t="n"/>
      <c r="G114" s="46" t="inlineStr">
        <is>
          <t>อื่นๆ</t>
        </is>
      </c>
      <c r="H114" s="48" t="inlineStr">
        <is>
          <t>อื่นๆ</t>
        </is>
      </c>
      <c r="I114" s="49" t="n">
        <v>184426.1</v>
      </c>
      <c r="J114" s="49" t="n">
        <v>12909.83</v>
      </c>
      <c r="K114" s="49" t="n">
        <v>197335.93</v>
      </c>
      <c r="L114" s="46" t="inlineStr">
        <is>
          <t>⚪ รอผล</t>
        </is>
      </c>
      <c r="M114" s="46" t="inlineStr">
        <is>
          <t>ต่ำ</t>
        </is>
      </c>
      <c r="N114" s="46" t="n">
        <v>0</v>
      </c>
      <c r="O114" s="46" t="inlineStr">
        <is>
          <t>—</t>
        </is>
      </c>
      <c r="P114" s="46" t="n"/>
      <c r="Q114" s="46" t="n"/>
      <c r="R114" s="46" t="n"/>
      <c r="S114" s="46" t="n"/>
    </row>
    <row r="115" ht="15" customHeight="1">
      <c r="A115" s="46" t="inlineStr">
        <is>
          <t>PL733</t>
        </is>
      </c>
      <c r="B115" s="46" t="inlineStr">
        <is>
          <t>2026-02</t>
        </is>
      </c>
      <c r="C115" s="47" t="inlineStr">
        <is>
          <t>พีเค 21</t>
        </is>
      </c>
      <c r="D115" s="46" t="inlineStr">
        <is>
          <t>B2B อื่นๆ</t>
        </is>
      </c>
      <c r="E115" s="46" t="inlineStr">
        <is>
          <t>LKT. 2026-02-733</t>
        </is>
      </c>
      <c r="F115" s="46" t="n"/>
      <c r="G115" s="46" t="inlineStr">
        <is>
          <t>อื่นๆ</t>
        </is>
      </c>
      <c r="H115" s="48" t="inlineStr">
        <is>
          <t>อื่นๆ</t>
        </is>
      </c>
      <c r="I115" s="49" t="n">
        <v>27714.4</v>
      </c>
      <c r="J115" s="49" t="n">
        <v>1940.01</v>
      </c>
      <c r="K115" s="49" t="n">
        <v>29654.41</v>
      </c>
      <c r="L115" s="46" t="inlineStr">
        <is>
          <t>⚪ รอผล</t>
        </is>
      </c>
      <c r="M115" s="46" t="inlineStr">
        <is>
          <t>ต่ำ</t>
        </is>
      </c>
      <c r="N115" s="46" t="n">
        <v>0</v>
      </c>
      <c r="O115" s="46" t="inlineStr">
        <is>
          <t>—</t>
        </is>
      </c>
      <c r="P115" s="46" t="n"/>
      <c r="Q115" s="46" t="n"/>
      <c r="R115" s="46" t="n"/>
      <c r="S115" s="46" t="n"/>
    </row>
    <row r="116" ht="15" customHeight="1">
      <c r="A116" s="38" t="inlineStr">
        <is>
          <t>PL734</t>
        </is>
      </c>
      <c r="B116" s="38" t="inlineStr">
        <is>
          <t>2026-02</t>
        </is>
      </c>
      <c r="C116" s="39" t="inlineStr">
        <is>
          <t>นราภรณ์</t>
        </is>
      </c>
      <c r="D116" s="38" t="inlineStr">
        <is>
          <t>B2B อื่นๆ</t>
        </is>
      </c>
      <c r="E116" s="38" t="inlineStr">
        <is>
          <t>LKT. 2026-02-734</t>
        </is>
      </c>
      <c r="F116" s="38" t="n"/>
      <c r="G116" s="38" t="inlineStr">
        <is>
          <t>อื่นๆ</t>
        </is>
      </c>
      <c r="H116" s="40" t="inlineStr">
        <is>
          <t>อื่นๆ</t>
        </is>
      </c>
      <c r="I116" s="41" t="n">
        <v>416343.2</v>
      </c>
      <c r="J116" s="41" t="n">
        <v>29144.02</v>
      </c>
      <c r="K116" s="41" t="n">
        <v>445487.22</v>
      </c>
      <c r="L116" s="38" t="inlineStr">
        <is>
          <t>📋 ติดตาม</t>
        </is>
      </c>
      <c r="M116" s="38" t="inlineStr">
        <is>
          <t>กลาง</t>
        </is>
      </c>
      <c r="N116" s="38" t="n">
        <v>0</v>
      </c>
      <c r="O116" s="38" t="inlineStr">
        <is>
          <t>—</t>
        </is>
      </c>
      <c r="P116" s="38" t="n"/>
      <c r="Q116" s="38" t="n"/>
      <c r="R116" s="38" t="n"/>
      <c r="S116" s="38" t="n"/>
    </row>
    <row r="117" ht="15" customHeight="1">
      <c r="A117" s="38" t="inlineStr">
        <is>
          <t>PL735</t>
        </is>
      </c>
      <c r="B117" s="38" t="inlineStr">
        <is>
          <t>2026-02</t>
        </is>
      </c>
      <c r="C117" s="39" t="inlineStr">
        <is>
          <t>ไลท์อัพ</t>
        </is>
      </c>
      <c r="D117" s="38" t="inlineStr">
        <is>
          <t>B2B อื่นๆ</t>
        </is>
      </c>
      <c r="E117" s="38" t="inlineStr">
        <is>
          <t>LKT. 2026-02-735</t>
        </is>
      </c>
      <c r="F117" s="38" t="n"/>
      <c r="G117" s="38" t="inlineStr">
        <is>
          <t>เสาไฟถนน</t>
        </is>
      </c>
      <c r="H117" s="40" t="inlineStr">
        <is>
          <t>เสากลมตรง 4''OD114.3 H6M ไมชุบกัลวาไนซ</t>
        </is>
      </c>
      <c r="I117" s="41" t="n">
        <v>337790</v>
      </c>
      <c r="J117" s="41" t="n">
        <v>23645.3</v>
      </c>
      <c r="K117" s="41" t="n">
        <v>361435.3</v>
      </c>
      <c r="L117" s="38" t="inlineStr">
        <is>
          <t>📋 ติดตาม</t>
        </is>
      </c>
      <c r="M117" s="38" t="inlineStr">
        <is>
          <t>กลาง</t>
        </is>
      </c>
      <c r="N117" s="38" t="n">
        <v>1</v>
      </c>
      <c r="O117" s="38" t="inlineStr">
        <is>
          <t>—</t>
        </is>
      </c>
      <c r="P117" s="38" t="n"/>
      <c r="Q117" s="38" t="n"/>
      <c r="R117" s="38" t="n"/>
      <c r="S117" s="38" t="n"/>
    </row>
    <row r="118" ht="15" customHeight="1">
      <c r="A118" s="46" t="inlineStr">
        <is>
          <t>PL736</t>
        </is>
      </c>
      <c r="B118" s="46" t="inlineStr">
        <is>
          <t>2026-02</t>
        </is>
      </c>
      <c r="C118" s="47" t="inlineStr">
        <is>
          <t>บ. ไทยทาสก์อาร์คิเท็คส์</t>
        </is>
      </c>
      <c r="D118" s="46" t="inlineStr">
        <is>
          <t>B2B อื่นๆ</t>
        </is>
      </c>
      <c r="E118" s="46" t="inlineStr">
        <is>
          <t>LKT. 2026-02 -PL736</t>
        </is>
      </c>
      <c r="F118" s="46" t="n"/>
      <c r="G118" s="46" t="inlineStr">
        <is>
          <t>เสาไฟถนน</t>
        </is>
      </c>
      <c r="H118" s="48" t="inlineStr">
        <is>
          <t>Pole With Bracket 4M-T3.2-TR</t>
        </is>
      </c>
      <c r="I118" s="49" t="n">
        <v>5492.9</v>
      </c>
      <c r="J118" s="49" t="n">
        <v>384.5</v>
      </c>
      <c r="K118" s="49" t="n">
        <v>5877.4</v>
      </c>
      <c r="L118" s="46" t="inlineStr">
        <is>
          <t>⚪ รอผล</t>
        </is>
      </c>
      <c r="M118" s="46" t="inlineStr">
        <is>
          <t>ต่ำ</t>
        </is>
      </c>
      <c r="N118" s="46" t="n">
        <v>1</v>
      </c>
      <c r="O118" s="46" t="inlineStr">
        <is>
          <t>—</t>
        </is>
      </c>
      <c r="P118" s="46" t="n"/>
      <c r="Q118" s="46" t="n"/>
      <c r="R118" s="46" t="n"/>
      <c r="S118" s="46" t="n"/>
    </row>
    <row r="119" ht="15" customHeight="1">
      <c r="A119" s="46" t="inlineStr">
        <is>
          <t>PL737</t>
        </is>
      </c>
      <c r="B119" s="46" t="inlineStr">
        <is>
          <t>2026-02</t>
        </is>
      </c>
      <c r="C119" s="47" t="inlineStr">
        <is>
          <t>บ. โซล่าร์วัน คอนสตรัคชั่น</t>
        </is>
      </c>
      <c r="D119" s="46" t="inlineStr">
        <is>
          <t>B2B อื่นๆ</t>
        </is>
      </c>
      <c r="E119" s="46" t="inlineStr">
        <is>
          <t>LKT. 2026-02 -PL737</t>
        </is>
      </c>
      <c r="F119" s="46" t="n"/>
      <c r="G119" s="46" t="inlineStr">
        <is>
          <t>เสาไฟถนน</t>
        </is>
      </c>
      <c r="H119" s="48" t="inlineStr">
        <is>
          <t>Pole With Bracket 6M-T4-TR</t>
        </is>
      </c>
      <c r="I119" s="49" t="n">
        <v>215355</v>
      </c>
      <c r="J119" s="49" t="n">
        <v>15074.85</v>
      </c>
      <c r="K119" s="49" t="n">
        <v>230429.85</v>
      </c>
      <c r="L119" s="46" t="inlineStr">
        <is>
          <t>⚪ รอผล</t>
        </is>
      </c>
      <c r="M119" s="46" t="inlineStr">
        <is>
          <t>ต่ำ</t>
        </is>
      </c>
      <c r="N119" s="46" t="n">
        <v>1</v>
      </c>
      <c r="O119" s="46" t="inlineStr">
        <is>
          <t>—</t>
        </is>
      </c>
      <c r="P119" s="46" t="n"/>
      <c r="Q119" s="46" t="n"/>
      <c r="R119" s="46" t="n"/>
      <c r="S119" s="46" t="n"/>
    </row>
    <row r="120" ht="15" customHeight="1">
      <c r="A120" s="38" t="inlineStr">
        <is>
          <t>PL738</t>
        </is>
      </c>
      <c r="B120" s="38" t="inlineStr">
        <is>
          <t>2026-03</t>
        </is>
      </c>
      <c r="C120" s="39" t="inlineStr">
        <is>
          <t>แอเรีย เทคโนโลยี</t>
        </is>
      </c>
      <c r="D120" s="38" t="inlineStr">
        <is>
          <t>B2B อื่นๆ</t>
        </is>
      </c>
      <c r="E120" s="38" t="inlineStr">
        <is>
          <t>LKT. 2026-03 -PL738</t>
        </is>
      </c>
      <c r="F120" s="38" t="n"/>
      <c r="G120" s="38" t="inlineStr">
        <is>
          <t>Solar</t>
        </is>
      </c>
      <c r="H120" s="40" t="inlineStr">
        <is>
          <t>เสากลมตรง 3'' H2.0M.(วัดนํ้าเสีย)+Support solar</t>
        </is>
      </c>
      <c r="I120" s="41" t="n">
        <v>538005</v>
      </c>
      <c r="J120" s="41" t="n">
        <v>37660.35</v>
      </c>
      <c r="K120" s="41" t="n">
        <v>575665.35</v>
      </c>
      <c r="L120" s="38" t="inlineStr">
        <is>
          <t>📋 ติดตาม</t>
        </is>
      </c>
      <c r="M120" s="38" t="inlineStr">
        <is>
          <t>กลาง</t>
        </is>
      </c>
      <c r="N120" s="38" t="n">
        <v>1</v>
      </c>
      <c r="O120" s="38" t="inlineStr">
        <is>
          <t>—</t>
        </is>
      </c>
      <c r="P120" s="38" t="n"/>
      <c r="Q120" s="38" t="n"/>
      <c r="R120" s="38" t="n"/>
      <c r="S120" s="38" t="n"/>
    </row>
    <row r="121" ht="15" customHeight="1">
      <c r="A121" s="38" t="inlineStr">
        <is>
          <t>PL739</t>
        </is>
      </c>
      <c r="B121" s="38" t="inlineStr">
        <is>
          <t>2026-03</t>
        </is>
      </c>
      <c r="C121" s="39" t="inlineStr">
        <is>
          <t>แอ๊ดว้านซ์ R04</t>
        </is>
      </c>
      <c r="D121" s="38" t="inlineStr">
        <is>
          <t>B2B อื่นๆ</t>
        </is>
      </c>
      <c r="E121" s="38" t="inlineStr">
        <is>
          <t>LKT. 2026-03 -PL739</t>
        </is>
      </c>
      <c r="F121" s="38" t="n"/>
      <c r="G121" s="38" t="inlineStr">
        <is>
          <t>High Mast</t>
        </is>
      </c>
      <c r="H121" s="40" t="inlineStr">
        <is>
          <t>High mast Pole 15 M วงแหวน 8 โคม เหล็ก 4.5 มม.</t>
        </is>
      </c>
      <c r="I121" s="41" t="n">
        <v>528732</v>
      </c>
      <c r="J121" s="41" t="n">
        <v>37011.24</v>
      </c>
      <c r="K121" s="41" t="n">
        <v>565743.24</v>
      </c>
      <c r="L121" s="38" t="inlineStr">
        <is>
          <t>📋 ติดตาม</t>
        </is>
      </c>
      <c r="M121" s="38" t="inlineStr">
        <is>
          <t>กลาง</t>
        </is>
      </c>
      <c r="N121" s="38" t="n">
        <v>1</v>
      </c>
      <c r="O121" s="38" t="inlineStr">
        <is>
          <t>—</t>
        </is>
      </c>
      <c r="P121" s="38" t="n"/>
      <c r="Q121" s="38" t="n"/>
      <c r="R121" s="38" t="n"/>
      <c r="S121" s="38" t="n"/>
    </row>
    <row r="122" ht="15" customHeight="1">
      <c r="A122" s="46" t="inlineStr">
        <is>
          <t>PL740</t>
        </is>
      </c>
      <c r="B122" s="46" t="inlineStr">
        <is>
          <t>2026-03</t>
        </is>
      </c>
      <c r="C122" s="47" t="inlineStr">
        <is>
          <t>นพเก้าโฮมมาร์ท</t>
        </is>
      </c>
      <c r="D122" s="46" t="inlineStr">
        <is>
          <t>B2B อื่นๆ</t>
        </is>
      </c>
      <c r="E122" s="46" t="inlineStr">
        <is>
          <t>LKT. 2026-03 -PL740</t>
        </is>
      </c>
      <c r="F122" s="46" t="n"/>
      <c r="G122" s="46" t="inlineStr">
        <is>
          <t>เสาไฟถนน</t>
        </is>
      </c>
      <c r="H122" s="48" t="inlineStr">
        <is>
          <t>Post Top Pole 6M-T4-TR</t>
        </is>
      </c>
      <c r="I122" s="49" t="n">
        <v>15758.4</v>
      </c>
      <c r="J122" s="49" t="n">
        <v>1103.09</v>
      </c>
      <c r="K122" s="49" t="n">
        <v>16861.49</v>
      </c>
      <c r="L122" s="46" t="inlineStr">
        <is>
          <t>⚪ รอผล</t>
        </is>
      </c>
      <c r="M122" s="46" t="inlineStr">
        <is>
          <t>ต่ำ</t>
        </is>
      </c>
      <c r="N122" s="46" t="n">
        <v>1</v>
      </c>
      <c r="O122" s="46" t="inlineStr">
        <is>
          <t>—</t>
        </is>
      </c>
      <c r="P122" s="46" t="n"/>
      <c r="Q122" s="46" t="n"/>
      <c r="R122" s="46" t="n"/>
      <c r="S122" s="46" t="n"/>
    </row>
    <row r="123" ht="15" customHeight="1">
      <c r="A123" s="46" t="inlineStr">
        <is>
          <t>PL741</t>
        </is>
      </c>
      <c r="B123" s="46" t="inlineStr">
        <is>
          <t>2026-03</t>
        </is>
      </c>
      <c r="C123" s="47" t="inlineStr">
        <is>
          <t>สมบูรณ์เพลสอพารท์เม้นท์</t>
        </is>
      </c>
      <c r="D123" s="46" t="inlineStr">
        <is>
          <t>B2B อื่นๆ</t>
        </is>
      </c>
      <c r="E123" s="46" t="inlineStr">
        <is>
          <t>LKT. 2026-03 -PL741</t>
        </is>
      </c>
      <c r="F123" s="46" t="n"/>
      <c r="G123" s="46" t="inlineStr">
        <is>
          <t>เสาไฟถนน</t>
        </is>
      </c>
      <c r="H123" s="48" t="inlineStr">
        <is>
          <t>Pole With Bracket 4M-T3.2-TR</t>
        </is>
      </c>
      <c r="I123" s="49" t="n">
        <v>6139.7</v>
      </c>
      <c r="J123" s="49" t="n">
        <v>429.78</v>
      </c>
      <c r="K123" s="49" t="n">
        <v>6569.48</v>
      </c>
      <c r="L123" s="46" t="inlineStr">
        <is>
          <t>⚪ รอผล</t>
        </is>
      </c>
      <c r="M123" s="46" t="inlineStr">
        <is>
          <t>ต่ำ</t>
        </is>
      </c>
      <c r="N123" s="46" t="n">
        <v>1</v>
      </c>
      <c r="O123" s="46" t="inlineStr">
        <is>
          <t>—</t>
        </is>
      </c>
      <c r="P123" s="46" t="n"/>
      <c r="Q123" s="46" t="n"/>
      <c r="R123" s="46" t="n"/>
      <c r="S123" s="46" t="n"/>
    </row>
    <row r="124" ht="15" customHeight="1">
      <c r="A124" s="46" t="inlineStr">
        <is>
          <t>PL742</t>
        </is>
      </c>
      <c r="B124" s="46" t="inlineStr">
        <is>
          <t>2026-03</t>
        </is>
      </c>
      <c r="C124" s="47" t="inlineStr">
        <is>
          <t>ประดิษฐ์</t>
        </is>
      </c>
      <c r="D124" s="46" t="inlineStr">
        <is>
          <t>B2B อื่นๆ</t>
        </is>
      </c>
      <c r="E124" s="46" t="inlineStr">
        <is>
          <t>LKT. 2026-03 -PL742</t>
        </is>
      </c>
      <c r="F124" s="46" t="n"/>
      <c r="G124" s="46" t="inlineStr">
        <is>
          <t>อื่นๆ</t>
        </is>
      </c>
      <c r="H124" s="48" t="inlineStr">
        <is>
          <t>อื่นๆ</t>
        </is>
      </c>
      <c r="I124" s="49" t="n">
        <v>149038.4</v>
      </c>
      <c r="J124" s="49" t="n">
        <v>10432.69</v>
      </c>
      <c r="K124" s="49" t="n">
        <v>159471.09</v>
      </c>
      <c r="L124" s="46" t="inlineStr">
        <is>
          <t>⚪ รอผล</t>
        </is>
      </c>
      <c r="M124" s="46" t="inlineStr">
        <is>
          <t>ต่ำ</t>
        </is>
      </c>
      <c r="N124" s="46" t="n">
        <v>0</v>
      </c>
      <c r="O124" s="46" t="inlineStr">
        <is>
          <t>—</t>
        </is>
      </c>
      <c r="P124" s="46" t="n"/>
      <c r="Q124" s="46" t="n"/>
      <c r="R124" s="46" t="n"/>
      <c r="S124" s="46" t="n"/>
    </row>
    <row r="125" ht="15" customHeight="1">
      <c r="A125" s="38" t="inlineStr">
        <is>
          <t>PL743</t>
        </is>
      </c>
      <c r="B125" s="38" t="inlineStr">
        <is>
          <t>2026-03</t>
        </is>
      </c>
      <c r="C125" s="39" t="inlineStr">
        <is>
          <t>บีเอ็นพี</t>
        </is>
      </c>
      <c r="D125" s="38" t="inlineStr">
        <is>
          <t>B2B อื่นๆ</t>
        </is>
      </c>
      <c r="E125" s="38" t="inlineStr">
        <is>
          <t>LKT. 2026-03 -PL743</t>
        </is>
      </c>
      <c r="F125" s="38" t="n"/>
      <c r="G125" s="38" t="inlineStr">
        <is>
          <t>เสาไฟถนน</t>
        </is>
      </c>
      <c r="H125" s="40" t="inlineStr">
        <is>
          <t>เสากลมตรง 3'' OD88.9 3.2t H6M</t>
        </is>
      </c>
      <c r="I125" s="41" t="n">
        <v>366854</v>
      </c>
      <c r="J125" s="41" t="n">
        <v>25679.78</v>
      </c>
      <c r="K125" s="41" t="n">
        <v>392533.78</v>
      </c>
      <c r="L125" s="38" t="inlineStr">
        <is>
          <t>📋 ติดตาม</t>
        </is>
      </c>
      <c r="M125" s="38" t="inlineStr">
        <is>
          <t>กลาง</t>
        </is>
      </c>
      <c r="N125" s="38" t="n">
        <v>1</v>
      </c>
      <c r="O125" s="38" t="inlineStr">
        <is>
          <t>—</t>
        </is>
      </c>
      <c r="P125" s="38" t="n"/>
      <c r="Q125" s="38" t="n"/>
      <c r="R125" s="38" t="n"/>
      <c r="S125" s="38" t="n"/>
    </row>
    <row r="126" ht="15" customHeight="1">
      <c r="A126" s="38" t="inlineStr">
        <is>
          <t>PL744</t>
        </is>
      </c>
      <c r="B126" s="38" t="inlineStr">
        <is>
          <t>2026-03</t>
        </is>
      </c>
      <c r="C126" s="39" t="inlineStr">
        <is>
          <t>บลูไลน์ จี.โอ.ซีสเต็ม</t>
        </is>
      </c>
      <c r="D126" s="38" t="inlineStr">
        <is>
          <t>B2B อื่นๆ</t>
        </is>
      </c>
      <c r="E126" s="38" t="inlineStr">
        <is>
          <t>LKT. 2026-03 -PL743</t>
        </is>
      </c>
      <c r="F126" s="38" t="n"/>
      <c r="G126" s="38" t="inlineStr">
        <is>
          <t>เสาไฟถนน</t>
        </is>
      </c>
      <c r="H126" s="40" t="inlineStr">
        <is>
          <t>เสากลมตรง 4''OD 114.3 H5M 2.3t</t>
        </is>
      </c>
      <c r="I126" s="41" t="n">
        <v>355005</v>
      </c>
      <c r="J126" s="41" t="n">
        <v>24850.35</v>
      </c>
      <c r="K126" s="41" t="n">
        <v>379855.35</v>
      </c>
      <c r="L126" s="38" t="inlineStr">
        <is>
          <t>📋 ติดตาม</t>
        </is>
      </c>
      <c r="M126" s="38" t="inlineStr">
        <is>
          <t>กลาง</t>
        </is>
      </c>
      <c r="N126" s="38" t="n">
        <v>1</v>
      </c>
      <c r="O126" s="38" t="inlineStr">
        <is>
          <t>—</t>
        </is>
      </c>
      <c r="P126" s="38" t="n"/>
      <c r="Q126" s="38" t="n"/>
      <c r="R126" s="38" t="n"/>
      <c r="S126" s="38" t="n"/>
    </row>
    <row r="127" ht="15" customHeight="1">
      <c r="A127" s="46" t="inlineStr">
        <is>
          <t>PL745</t>
        </is>
      </c>
      <c r="B127" s="46" t="inlineStr">
        <is>
          <t>2026-03</t>
        </is>
      </c>
      <c r="C127" s="47" t="inlineStr">
        <is>
          <t>บิ๊กแบร์</t>
        </is>
      </c>
      <c r="D127" s="46" t="inlineStr">
        <is>
          <t>B2B อื่นๆ</t>
        </is>
      </c>
      <c r="E127" s="46" t="inlineStr">
        <is>
          <t>LKT. 2026-03-745</t>
        </is>
      </c>
      <c r="F127" s="46" t="n"/>
      <c r="G127" s="46" t="inlineStr">
        <is>
          <t>Hardware / Accessories</t>
        </is>
      </c>
      <c r="H127" s="48" t="inlineStr">
        <is>
          <t>J-Bolt 1’’(≥M25)400mm+Nut+Washer HDG</t>
        </is>
      </c>
      <c r="I127" s="49" t="n">
        <v>8780.799999999999</v>
      </c>
      <c r="J127" s="49" t="n">
        <v>614.66</v>
      </c>
      <c r="K127" s="49" t="n">
        <v>9395.459999999999</v>
      </c>
      <c r="L127" s="46" t="inlineStr">
        <is>
          <t>⚪ รอผล</t>
        </is>
      </c>
      <c r="M127" s="46" t="inlineStr">
        <is>
          <t>ต่ำ</t>
        </is>
      </c>
      <c r="N127" s="46" t="n">
        <v>1</v>
      </c>
      <c r="O127" s="46" t="inlineStr">
        <is>
          <t>—</t>
        </is>
      </c>
      <c r="P127" s="46" t="n"/>
      <c r="Q127" s="46" t="n"/>
      <c r="R127" s="46" t="n"/>
      <c r="S127" s="46" t="n"/>
    </row>
    <row r="128" ht="15" customHeight="1">
      <c r="A128" s="46" t="inlineStr">
        <is>
          <t>PL746</t>
        </is>
      </c>
      <c r="B128" s="46" t="inlineStr">
        <is>
          <t>2026-03</t>
        </is>
      </c>
      <c r="C128" s="47" t="inlineStr">
        <is>
          <t>เดียร์ เอนจิเนียริ่ง เซอร์วิส (ไทยแลนด์)</t>
        </is>
      </c>
      <c r="D128" s="46" t="inlineStr">
        <is>
          <t>B2B อื่นๆ</t>
        </is>
      </c>
      <c r="E128" s="46" t="inlineStr">
        <is>
          <t>LKT. 2026-03 -PL746</t>
        </is>
      </c>
      <c r="F128" s="46" t="n"/>
      <c r="G128" s="46" t="inlineStr">
        <is>
          <t>เสาไฟถนน</t>
        </is>
      </c>
      <c r="H128" s="48" t="inlineStr">
        <is>
          <t>Pole With Bracket 4M-T3.2-TR</t>
        </is>
      </c>
      <c r="I128" s="49" t="n">
        <v>7707.7</v>
      </c>
      <c r="J128" s="49" t="n">
        <v>539.54</v>
      </c>
      <c r="K128" s="49" t="n">
        <v>8247.24</v>
      </c>
      <c r="L128" s="46" t="inlineStr">
        <is>
          <t>⚪ รอผล</t>
        </is>
      </c>
      <c r="M128" s="46" t="inlineStr">
        <is>
          <t>ต่ำ</t>
        </is>
      </c>
      <c r="N128" s="46" t="n">
        <v>1</v>
      </c>
      <c r="O128" s="46" t="inlineStr">
        <is>
          <t>—</t>
        </is>
      </c>
      <c r="P128" s="46" t="n"/>
      <c r="Q128" s="46" t="n"/>
      <c r="R128" s="46" t="n"/>
      <c r="S128" s="46" t="n"/>
    </row>
    <row r="129" ht="15" customHeight="1">
      <c r="A129" s="38" t="inlineStr">
        <is>
          <t>PL747</t>
        </is>
      </c>
      <c r="B129" s="38" t="inlineStr">
        <is>
          <t>2026-03</t>
        </is>
      </c>
      <c r="C129" s="39" t="inlineStr">
        <is>
          <t>คุณเพชร</t>
        </is>
      </c>
      <c r="D129" s="38" t="inlineStr">
        <is>
          <t>B2C บุคคล</t>
        </is>
      </c>
      <c r="E129" s="38" t="inlineStr">
        <is>
          <t>LKT. 2026-03 -PL747</t>
        </is>
      </c>
      <c r="F129" s="38" t="n"/>
      <c r="G129" s="38" t="inlineStr">
        <is>
          <t>High Mast</t>
        </is>
      </c>
      <c r="H129" s="40" t="inlineStr">
        <is>
          <t>High Mast 25 M+วงแหวน 2 ชั้น 12 โคม</t>
        </is>
      </c>
      <c r="I129" s="41" t="n">
        <v>473065.6</v>
      </c>
      <c r="J129" s="41" t="n">
        <v>33114.59</v>
      </c>
      <c r="K129" s="41" t="n">
        <v>506180.19</v>
      </c>
      <c r="L129" s="38" t="inlineStr">
        <is>
          <t>📋 ติดตาม</t>
        </is>
      </c>
      <c r="M129" s="38" t="inlineStr">
        <is>
          <t>กลาง</t>
        </is>
      </c>
      <c r="N129" s="38" t="n">
        <v>1</v>
      </c>
      <c r="O129" s="38" t="inlineStr">
        <is>
          <t>—</t>
        </is>
      </c>
      <c r="P129" s="38" t="n"/>
      <c r="Q129" s="38" t="n"/>
      <c r="R129" s="38" t="n"/>
      <c r="S129" s="38" t="n"/>
    </row>
    <row r="130" ht="15" customHeight="1">
      <c r="A130" s="38" t="inlineStr">
        <is>
          <t>PL748</t>
        </is>
      </c>
      <c r="B130" s="38" t="inlineStr">
        <is>
          <t>2026-03</t>
        </is>
      </c>
      <c r="C130" s="39" t="inlineStr">
        <is>
          <t>นราภรณ์</t>
        </is>
      </c>
      <c r="D130" s="38" t="inlineStr">
        <is>
          <t>B2B อื่นๆ</t>
        </is>
      </c>
      <c r="E130" s="38" t="inlineStr">
        <is>
          <t>LKT. 2026-03-748</t>
        </is>
      </c>
      <c r="F130" s="38" t="n"/>
      <c r="G130" s="38" t="inlineStr">
        <is>
          <t>อื่นๆ</t>
        </is>
      </c>
      <c r="H130" s="40" t="inlineStr">
        <is>
          <t>อื่นๆ</t>
        </is>
      </c>
      <c r="I130" s="41" t="n">
        <v>546291.2</v>
      </c>
      <c r="J130" s="41" t="n">
        <v>38240.38</v>
      </c>
      <c r="K130" s="41" t="n">
        <v>584531.58</v>
      </c>
      <c r="L130" s="38" t="inlineStr">
        <is>
          <t>📋 ติดตาม</t>
        </is>
      </c>
      <c r="M130" s="38" t="inlineStr">
        <is>
          <t>กลาง</t>
        </is>
      </c>
      <c r="N130" s="38" t="n">
        <v>0</v>
      </c>
      <c r="O130" s="38" t="inlineStr">
        <is>
          <t>—</t>
        </is>
      </c>
      <c r="P130" s="38" t="n"/>
      <c r="Q130" s="38" t="n"/>
      <c r="R130" s="38" t="n"/>
      <c r="S130" s="38" t="n"/>
    </row>
    <row r="131" ht="15" customHeight="1">
      <c r="A131" s="46" t="inlineStr">
        <is>
          <t>PL749</t>
        </is>
      </c>
      <c r="B131" s="46" t="inlineStr">
        <is>
          <t>2026-03</t>
        </is>
      </c>
      <c r="C131" s="47" t="inlineStr">
        <is>
          <t>ทางหลวงชุมพร</t>
        </is>
      </c>
      <c r="D131" s="46" t="inlineStr">
        <is>
          <t>B2B อื่นๆ</t>
        </is>
      </c>
      <c r="E131" s="46" t="inlineStr">
        <is>
          <t>LKT. 2026-03-749</t>
        </is>
      </c>
      <c r="F131" s="46" t="n"/>
      <c r="G131" s="46" t="inlineStr">
        <is>
          <t>High Mast</t>
        </is>
      </c>
      <c r="H131" s="48" t="inlineStr">
        <is>
          <t>High mast Pole 20M เหล็ก 4.5 มม. เสาเปลา</t>
        </is>
      </c>
      <c r="I131" s="49" t="n">
        <v>113043</v>
      </c>
      <c r="J131" s="49" t="n">
        <v>7913.01</v>
      </c>
      <c r="K131" s="49" t="n">
        <v>120956.01</v>
      </c>
      <c r="L131" s="46" t="inlineStr">
        <is>
          <t>⚪ รอผล</t>
        </is>
      </c>
      <c r="M131" s="46" t="inlineStr">
        <is>
          <t>ต่ำ</t>
        </is>
      </c>
      <c r="N131" s="46" t="n">
        <v>1</v>
      </c>
      <c r="O131" s="46" t="inlineStr">
        <is>
          <t>—</t>
        </is>
      </c>
      <c r="P131" s="46" t="n"/>
      <c r="Q131" s="46" t="n"/>
      <c r="R131" s="46" t="n"/>
      <c r="S131" s="46" t="n"/>
    </row>
    <row r="132" ht="15" customHeight="1">
      <c r="A132" s="38" t="inlineStr">
        <is>
          <t>PL750</t>
        </is>
      </c>
      <c r="B132" s="38" t="inlineStr">
        <is>
          <t>2026-03</t>
        </is>
      </c>
      <c r="C132" s="39" t="inlineStr">
        <is>
          <t>ปี๊มน้ำมัน บริษัท เค.บี.เอ็ม . เทคโนโลยีส์ จำกัด</t>
        </is>
      </c>
      <c r="D132" s="38" t="inlineStr">
        <is>
          <t>B2B บริษัท</t>
        </is>
      </c>
      <c r="E132" s="38" t="inlineStr">
        <is>
          <t>LKT. 2026-03-750</t>
        </is>
      </c>
      <c r="F132" s="38" t="n"/>
      <c r="G132" s="38" t="inlineStr">
        <is>
          <t>LED Streetlight</t>
        </is>
      </c>
      <c r="H132" s="40" t="inlineStr">
        <is>
          <t>LED Canopy Model 3 - 100W 5700K 60D</t>
        </is>
      </c>
      <c r="I132" s="41" t="n">
        <v>304655.5</v>
      </c>
      <c r="J132" s="41" t="n">
        <v>21325.89</v>
      </c>
      <c r="K132" s="41" t="n">
        <v>325981.39</v>
      </c>
      <c r="L132" s="38" t="inlineStr">
        <is>
          <t>📋 ติดตาม</t>
        </is>
      </c>
      <c r="M132" s="38" t="inlineStr">
        <is>
          <t>กลาง</t>
        </is>
      </c>
      <c r="N132" s="38" t="n">
        <v>1</v>
      </c>
      <c r="O132" s="38" t="inlineStr">
        <is>
          <t>—</t>
        </is>
      </c>
      <c r="P132" s="38" t="n"/>
      <c r="Q132" s="38" t="n"/>
      <c r="R132" s="38" t="n"/>
      <c r="S132" s="38" t="n"/>
    </row>
    <row r="133" ht="15" customHeight="1">
      <c r="A133" s="42" t="inlineStr">
        <is>
          <t>PL751</t>
        </is>
      </c>
      <c r="B133" s="42" t="inlineStr">
        <is>
          <t>2026-03</t>
        </is>
      </c>
      <c r="C133" s="43" t="inlineStr">
        <is>
          <t>ไลท์คอนเนอร์</t>
        </is>
      </c>
      <c r="D133" s="42" t="inlineStr">
        <is>
          <t>B2B อื่นๆ</t>
        </is>
      </c>
      <c r="E133" s="42" t="inlineStr">
        <is>
          <t>LKT. 2026-03-751</t>
        </is>
      </c>
      <c r="F133" s="42" t="n"/>
      <c r="G133" s="42" t="inlineStr">
        <is>
          <t>อื่นๆ</t>
        </is>
      </c>
      <c r="H133" s="44" t="inlineStr">
        <is>
          <t>โคมไฟถนนหลังเตา E40 HPS 250W อุปกรณ Philips</t>
        </is>
      </c>
      <c r="I133" s="45" t="n">
        <v>999600</v>
      </c>
      <c r="J133" s="45" t="n">
        <v>69972</v>
      </c>
      <c r="K133" s="45" t="n">
        <v>1069572</v>
      </c>
      <c r="L133" s="42" t="inlineStr">
        <is>
          <t>📞 ติดตาม-High</t>
        </is>
      </c>
      <c r="M133" s="42" t="inlineStr">
        <is>
          <t>สูง</t>
        </is>
      </c>
      <c r="N133" s="42" t="n">
        <v>1</v>
      </c>
      <c r="O133" s="42" t="inlineStr">
        <is>
          <t>—</t>
        </is>
      </c>
      <c r="P133" s="42" t="n"/>
      <c r="Q133" s="42" t="n"/>
      <c r="R133" s="42" t="n"/>
      <c r="S133" s="42" t="n"/>
    </row>
    <row r="134" ht="15" customHeight="1">
      <c r="A134" s="46" t="inlineStr">
        <is>
          <t>PL752</t>
        </is>
      </c>
      <c r="B134" s="46" t="inlineStr">
        <is>
          <t>2026-03</t>
        </is>
      </c>
      <c r="C134" s="47" t="inlineStr">
        <is>
          <t>ปี๊มน้ำมัน บริษัท อินเตอร์ เฟอร์นิคอน จำกัด ( สำนักงานใหญ่)</t>
        </is>
      </c>
      <c r="D134" s="46" t="inlineStr">
        <is>
          <t>B2G ภาครัฐ</t>
        </is>
      </c>
      <c r="E134" s="46" t="inlineStr">
        <is>
          <t>LKT. 2026-03-752</t>
        </is>
      </c>
      <c r="F134" s="46" t="n"/>
      <c r="G134" s="46" t="inlineStr">
        <is>
          <t>เสาไฟถนน</t>
        </is>
      </c>
      <c r="H134" s="48" t="inlineStr">
        <is>
          <t>เสาสี่เหลี่ยม 100x100x2.3t H6M (สีขาวCS651)</t>
        </is>
      </c>
      <c r="I134" s="49" t="n">
        <v>216750</v>
      </c>
      <c r="J134" s="49" t="n">
        <v>15172.5</v>
      </c>
      <c r="K134" s="49" t="n">
        <v>231922.5</v>
      </c>
      <c r="L134" s="46" t="inlineStr">
        <is>
          <t>⚪ รอผล</t>
        </is>
      </c>
      <c r="M134" s="46" t="inlineStr">
        <is>
          <t>ต่ำ</t>
        </is>
      </c>
      <c r="N134" s="46" t="n">
        <v>1</v>
      </c>
      <c r="O134" s="46" t="inlineStr">
        <is>
          <t>—</t>
        </is>
      </c>
      <c r="P134" s="46" t="n"/>
      <c r="Q134" s="46" t="n"/>
      <c r="R134" s="46" t="n"/>
      <c r="S134" s="46" t="n"/>
    </row>
    <row r="135" ht="15" customHeight="1">
      <c r="A135" s="38" t="inlineStr">
        <is>
          <t>PL753</t>
        </is>
      </c>
      <c r="B135" s="38" t="inlineStr">
        <is>
          <t>2026-03</t>
        </is>
      </c>
      <c r="C135" s="39" t="inlineStr">
        <is>
          <t>ปั๊มน้ำมัน  ส พิรุณพร</t>
        </is>
      </c>
      <c r="D135" s="38" t="inlineStr">
        <is>
          <t>B2B อื่นๆ</t>
        </is>
      </c>
      <c r="E135" s="38" t="inlineStr">
        <is>
          <t>LKT. 2026-01 -PL659</t>
        </is>
      </c>
      <c r="F135" s="38" t="inlineStr">
        <is>
          <t>25 มกราคม 2026</t>
        </is>
      </c>
      <c r="G135" s="38" t="inlineStr">
        <is>
          <t>LED Streetlight</t>
        </is>
      </c>
      <c r="H135" s="40" t="inlineStr">
        <is>
          <t>LED Streetlight 150W 5700K 23,250lm</t>
        </is>
      </c>
      <c r="I135" s="41" t="n">
        <v>308896</v>
      </c>
      <c r="J135" s="41" t="n">
        <v>21622.72</v>
      </c>
      <c r="K135" s="41" t="n">
        <v>330518.72</v>
      </c>
      <c r="L135" s="38" t="inlineStr">
        <is>
          <t>📋 ติดตาม</t>
        </is>
      </c>
      <c r="M135" s="38" t="inlineStr">
        <is>
          <t>กลาง</t>
        </is>
      </c>
      <c r="N135" s="38" t="n">
        <v>1</v>
      </c>
      <c r="O135" s="38" t="inlineStr">
        <is>
          <t>—</t>
        </is>
      </c>
      <c r="P135" s="38" t="n"/>
      <c r="Q135" s="38" t="n"/>
      <c r="R135" s="38" t="n"/>
      <c r="S135" s="38" t="n"/>
    </row>
    <row r="136" ht="15" customHeight="1">
      <c r="A136" s="46" t="inlineStr">
        <is>
          <t>PL754</t>
        </is>
      </c>
      <c r="B136" s="46" t="inlineStr">
        <is>
          <t>2026-03</t>
        </is>
      </c>
      <c r="C136" s="47" t="inlineStr">
        <is>
          <t>เอส พี</t>
        </is>
      </c>
      <c r="D136" s="46" t="inlineStr">
        <is>
          <t>B2B อื่นๆ</t>
        </is>
      </c>
      <c r="E136" s="46" t="inlineStr">
        <is>
          <t>LKT. 2026-03-754</t>
        </is>
      </c>
      <c r="F136" s="46" t="n"/>
      <c r="G136" s="46" t="inlineStr">
        <is>
          <t>อื่นๆ</t>
        </is>
      </c>
      <c r="H136" s="48" t="inlineStr">
        <is>
          <t>อื่นๆ</t>
        </is>
      </c>
      <c r="I136" s="49" t="n">
        <v>26616.8</v>
      </c>
      <c r="J136" s="49" t="n">
        <v>1863.18</v>
      </c>
      <c r="K136" s="49" t="n">
        <v>28479.98</v>
      </c>
      <c r="L136" s="46" t="inlineStr">
        <is>
          <t>⚪ รอผล</t>
        </is>
      </c>
      <c r="M136" s="46" t="inlineStr">
        <is>
          <t>ต่ำ</t>
        </is>
      </c>
      <c r="N136" s="46" t="n">
        <v>0</v>
      </c>
      <c r="O136" s="46" t="inlineStr">
        <is>
          <t>—</t>
        </is>
      </c>
      <c r="P136" s="46" t="n"/>
      <c r="Q136" s="46" t="n"/>
      <c r="R136" s="46" t="n"/>
      <c r="S136" s="46" t="n"/>
    </row>
    <row r="137" ht="15" customHeight="1">
      <c r="A137" s="46" t="inlineStr">
        <is>
          <t>PL755</t>
        </is>
      </c>
      <c r="B137" s="46" t="inlineStr">
        <is>
          <t>2026-03</t>
        </is>
      </c>
      <c r="C137" s="47" t="inlineStr">
        <is>
          <t>อินสเปค เอ็นจิเนียริ่ง</t>
        </is>
      </c>
      <c r="D137" s="46" t="inlineStr">
        <is>
          <t>B2B อื่นๆ</t>
        </is>
      </c>
      <c r="E137" s="46" t="inlineStr">
        <is>
          <t>LKT. 2026-03 -PL755</t>
        </is>
      </c>
      <c r="F137" s="46" t="n"/>
      <c r="G137" s="46" t="inlineStr">
        <is>
          <t>เสาไฟถนน</t>
        </is>
      </c>
      <c r="H137" s="48" t="inlineStr">
        <is>
          <t>Pole With Bracket 6M-T4-TR</t>
        </is>
      </c>
      <c r="I137" s="49" t="n">
        <v>80149.3</v>
      </c>
      <c r="J137" s="49" t="n">
        <v>5610.45</v>
      </c>
      <c r="K137" s="49" t="n">
        <v>85759.75</v>
      </c>
      <c r="L137" s="46" t="inlineStr">
        <is>
          <t>⚪ รอผล</t>
        </is>
      </c>
      <c r="M137" s="46" t="inlineStr">
        <is>
          <t>ต่ำ</t>
        </is>
      </c>
      <c r="N137" s="46" t="n">
        <v>1</v>
      </c>
      <c r="O137" s="46" t="inlineStr">
        <is>
          <t>—</t>
        </is>
      </c>
      <c r="P137" s="46" t="n"/>
      <c r="Q137" s="46" t="n"/>
      <c r="R137" s="46" t="n"/>
      <c r="S137" s="46" t="n"/>
    </row>
    <row r="138" ht="15" customHeight="1">
      <c r="A138" s="38" t="inlineStr">
        <is>
          <t>PL756</t>
        </is>
      </c>
      <c r="B138" s="38" t="inlineStr">
        <is>
          <t>2026-03</t>
        </is>
      </c>
      <c r="C138" s="39" t="inlineStr">
        <is>
          <t>อินเตอร์ เอ็กซ์เพิร์ท -สนามฟุตบอล 7 คน</t>
        </is>
      </c>
      <c r="D138" s="38" t="inlineStr">
        <is>
          <t>B2B อื่นๆ</t>
        </is>
      </c>
      <c r="E138" s="38" t="inlineStr">
        <is>
          <t>LKT. 2026-03 -PL756</t>
        </is>
      </c>
      <c r="F138" s="38" t="n"/>
      <c r="G138" s="38" t="inlineStr">
        <is>
          <t>เสาไฟถนน</t>
        </is>
      </c>
      <c r="H138" s="40" t="inlineStr">
        <is>
          <t>Post Top Pole 12M-T4-TR</t>
        </is>
      </c>
      <c r="I138" s="41" t="n">
        <v>346170.6</v>
      </c>
      <c r="J138" s="41" t="n">
        <v>24231.94</v>
      </c>
      <c r="K138" s="41" t="n">
        <v>370402.54</v>
      </c>
      <c r="L138" s="38" t="inlineStr">
        <is>
          <t>📋 ติดตาม</t>
        </is>
      </c>
      <c r="M138" s="38" t="inlineStr">
        <is>
          <t>กลาง</t>
        </is>
      </c>
      <c r="N138" s="38" t="n">
        <v>1</v>
      </c>
      <c r="O138" s="38" t="inlineStr">
        <is>
          <t>—</t>
        </is>
      </c>
      <c r="P138" s="38" t="n"/>
      <c r="Q138" s="38" t="n"/>
      <c r="R138" s="38" t="n"/>
      <c r="S138" s="38" t="n"/>
    </row>
    <row r="139" ht="15" customHeight="1">
      <c r="A139" s="46" t="inlineStr">
        <is>
          <t>PL757</t>
        </is>
      </c>
      <c r="B139" s="46" t="inlineStr">
        <is>
          <t>2026-03</t>
        </is>
      </c>
      <c r="C139" s="47" t="inlineStr">
        <is>
          <t>หจก.ธรรมรงรักษ์ เทรดดิ้ง</t>
        </is>
      </c>
      <c r="D139" s="46" t="inlineStr">
        <is>
          <t>B2B หจก.</t>
        </is>
      </c>
      <c r="E139" s="46" t="inlineStr">
        <is>
          <t>LKT. 2026-03 -PL757</t>
        </is>
      </c>
      <c r="F139" s="46" t="n"/>
      <c r="G139" s="46" t="inlineStr">
        <is>
          <t>Guard Rail / การ์ดเรล</t>
        </is>
      </c>
      <c r="H139" s="48" t="inlineStr">
        <is>
          <t>เสาการดเรล OD100 H2.0M</t>
        </is>
      </c>
      <c r="I139" s="49" t="n">
        <v>152878.04</v>
      </c>
      <c r="J139" s="49" t="n">
        <v>10701.46</v>
      </c>
      <c r="K139" s="49" t="n">
        <v>163579.5</v>
      </c>
      <c r="L139" s="46" t="inlineStr">
        <is>
          <t>⚪ รอผล</t>
        </is>
      </c>
      <c r="M139" s="46" t="inlineStr">
        <is>
          <t>ต่ำ</t>
        </is>
      </c>
      <c r="N139" s="46" t="n">
        <v>1</v>
      </c>
      <c r="O139" s="46" t="inlineStr">
        <is>
          <t>—</t>
        </is>
      </c>
      <c r="P139" s="46" t="n"/>
      <c r="Q139" s="46" t="n"/>
      <c r="R139" s="46" t="n"/>
      <c r="S139" s="46" t="n"/>
    </row>
    <row r="140" ht="15" customHeight="1">
      <c r="A140" s="46" t="inlineStr">
        <is>
          <t>PL758</t>
        </is>
      </c>
      <c r="B140" s="46" t="inlineStr">
        <is>
          <t>2026-03</t>
        </is>
      </c>
      <c r="C140" s="47" t="inlineStr">
        <is>
          <t>ประพันธ์ สิทธิบุตร</t>
        </is>
      </c>
      <c r="D140" s="46" t="inlineStr">
        <is>
          <t>B2B อื่นๆ</t>
        </is>
      </c>
      <c r="E140" s="46" t="inlineStr">
        <is>
          <t>LKT. 2026-03 -PL758</t>
        </is>
      </c>
      <c r="F140" s="46" t="n"/>
      <c r="G140" s="46" t="inlineStr">
        <is>
          <t>LED Highbay</t>
        </is>
      </c>
      <c r="H140" s="48" t="inlineStr">
        <is>
          <t>BYD239P LED260/CW PSU GM G2 LED HIGHBAY 200W/6500K</t>
        </is>
      </c>
      <c r="I140" s="49" t="n">
        <v>58329.6</v>
      </c>
      <c r="J140" s="49" t="n">
        <v>4083.07</v>
      </c>
      <c r="K140" s="49" t="n">
        <v>62412.67</v>
      </c>
      <c r="L140" s="46" t="inlineStr">
        <is>
          <t>⚪ รอผล</t>
        </is>
      </c>
      <c r="M140" s="46" t="inlineStr">
        <is>
          <t>ต่ำ</t>
        </is>
      </c>
      <c r="N140" s="46" t="n">
        <v>1</v>
      </c>
      <c r="O140" s="46" t="inlineStr">
        <is>
          <t>—</t>
        </is>
      </c>
      <c r="P140" s="46" t="n"/>
      <c r="Q140" s="46" t="n"/>
      <c r="R140" s="46" t="n"/>
      <c r="S140" s="46" t="n"/>
    </row>
    <row r="141" ht="15" customHeight="1">
      <c r="A141" s="46" t="inlineStr">
        <is>
          <t>PL759</t>
        </is>
      </c>
      <c r="B141" s="46" t="inlineStr">
        <is>
          <t>2026-03</t>
        </is>
      </c>
      <c r="C141" s="47" t="inlineStr">
        <is>
          <t>บริษัท เบสท์-แพค คอนกรีต จำกัด -Dearler</t>
        </is>
      </c>
      <c r="D141" s="46" t="inlineStr">
        <is>
          <t>B2B บริษัท</t>
        </is>
      </c>
      <c r="E141" s="46" t="inlineStr">
        <is>
          <t>LKT. 2026-03 -PL759</t>
        </is>
      </c>
      <c r="F141" s="46" t="n"/>
      <c r="G141" s="46" t="inlineStr">
        <is>
          <t>อื่นๆ</t>
        </is>
      </c>
      <c r="H141" s="48" t="inlineStr">
        <is>
          <t>อื่นๆ</t>
        </is>
      </c>
      <c r="I141" s="49" t="n">
        <v>193500</v>
      </c>
      <c r="J141" s="49" t="n">
        <v>13545</v>
      </c>
      <c r="K141" s="49" t="n">
        <v>207045</v>
      </c>
      <c r="L141" s="46" t="inlineStr">
        <is>
          <t>⚪ รอผล</t>
        </is>
      </c>
      <c r="M141" s="46" t="inlineStr">
        <is>
          <t>ต่ำ</t>
        </is>
      </c>
      <c r="N141" s="46" t="n">
        <v>0</v>
      </c>
      <c r="O141" s="46" t="inlineStr">
        <is>
          <t>—</t>
        </is>
      </c>
      <c r="P141" s="46" t="n"/>
      <c r="Q141" s="46" t="n"/>
      <c r="R141" s="46" t="n"/>
      <c r="S141" s="46" t="n"/>
    </row>
    <row r="142" ht="15" customHeight="1">
      <c r="A142" s="42" t="inlineStr">
        <is>
          <t>PL760</t>
        </is>
      </c>
      <c r="B142" s="42" t="inlineStr">
        <is>
          <t>2026-03</t>
        </is>
      </c>
      <c r="C142" s="43" t="inlineStr">
        <is>
          <t>ชาคริส</t>
        </is>
      </c>
      <c r="D142" s="42" t="inlineStr">
        <is>
          <t>B2B อื่นๆ</t>
        </is>
      </c>
      <c r="E142" s="42" t="inlineStr">
        <is>
          <t>LKT. 2026-03-760</t>
        </is>
      </c>
      <c r="F142" s="42" t="n"/>
      <c r="G142" s="42" t="inlineStr">
        <is>
          <t>เสาไฟถนน</t>
        </is>
      </c>
      <c r="H142" s="44" t="inlineStr">
        <is>
          <t>POLE WITH BRACKET L2.5M. H9M 4.5t พับได กิ่งเดี่ยว</t>
        </is>
      </c>
      <c r="I142" s="45" t="n">
        <v>2058107.8</v>
      </c>
      <c r="J142" s="45" t="n">
        <v>144067.55</v>
      </c>
      <c r="K142" s="45" t="n">
        <v>2202175.35</v>
      </c>
      <c r="L142" s="42" t="inlineStr">
        <is>
          <t>📞 ติดตาม-High</t>
        </is>
      </c>
      <c r="M142" s="42" t="inlineStr">
        <is>
          <t>สูง</t>
        </is>
      </c>
      <c r="N142" s="42" t="n">
        <v>1</v>
      </c>
      <c r="O142" s="42" t="inlineStr">
        <is>
          <t>—</t>
        </is>
      </c>
      <c r="P142" s="42" t="n"/>
      <c r="Q142" s="42" t="n"/>
      <c r="R142" s="42" t="n"/>
      <c r="S142" s="42" t="n"/>
    </row>
    <row r="143" ht="15" customHeight="1">
      <c r="A143" s="46" t="inlineStr">
        <is>
          <t>PL761</t>
        </is>
      </c>
      <c r="B143" s="46" t="inlineStr">
        <is>
          <t>2026-03</t>
        </is>
      </c>
      <c r="C143" s="47" t="inlineStr">
        <is>
          <t>ไอซีซี</t>
        </is>
      </c>
      <c r="D143" s="46" t="inlineStr">
        <is>
          <t>B2B อื่นๆ</t>
        </is>
      </c>
      <c r="E143" s="46" t="inlineStr">
        <is>
          <t>LKT. 2026-03 -PL761</t>
        </is>
      </c>
      <c r="F143" s="46" t="n"/>
      <c r="G143" s="46" t="inlineStr">
        <is>
          <t>อื่นๆ</t>
        </is>
      </c>
      <c r="H143" s="48" t="inlineStr">
        <is>
          <t>อื่นๆ</t>
        </is>
      </c>
      <c r="I143" s="49" t="n">
        <v>56074.77</v>
      </c>
      <c r="J143" s="49" t="n">
        <v>3925.23</v>
      </c>
      <c r="K143" s="49" t="n">
        <v>60000</v>
      </c>
      <c r="L143" s="46" t="inlineStr">
        <is>
          <t>⚪ รอผล</t>
        </is>
      </c>
      <c r="M143" s="46" t="inlineStr">
        <is>
          <t>ต่ำ</t>
        </is>
      </c>
      <c r="N143" s="46" t="n">
        <v>0</v>
      </c>
      <c r="O143" s="46" t="inlineStr">
        <is>
          <t>—</t>
        </is>
      </c>
      <c r="P143" s="46" t="n"/>
      <c r="Q143" s="46" t="n"/>
      <c r="R143" s="46" t="n"/>
      <c r="S143" s="46" t="n"/>
    </row>
    <row r="144" ht="15" customHeight="1">
      <c r="A144" s="46" t="inlineStr">
        <is>
          <t>PL762</t>
        </is>
      </c>
      <c r="B144" s="46" t="inlineStr">
        <is>
          <t>2026-03</t>
        </is>
      </c>
      <c r="C144" s="47" t="inlineStr">
        <is>
          <t>บีเอ็นพี</t>
        </is>
      </c>
      <c r="D144" s="46" t="inlineStr">
        <is>
          <t>B2B อื่นๆ</t>
        </is>
      </c>
      <c r="E144" s="46" t="inlineStr">
        <is>
          <t>LKT. 2026-03 -PL743</t>
        </is>
      </c>
      <c r="F144" s="46" t="n"/>
      <c r="G144" s="46" t="inlineStr">
        <is>
          <t>Solar</t>
        </is>
      </c>
      <c r="H144" s="48" t="inlineStr">
        <is>
          <t>Bracket OD60.5 L1M 15D</t>
        </is>
      </c>
      <c r="I144" s="49" t="n">
        <v>41316.8</v>
      </c>
      <c r="J144" s="49" t="n">
        <v>2892.18</v>
      </c>
      <c r="K144" s="49" t="n">
        <v>44208.98</v>
      </c>
      <c r="L144" s="46" t="inlineStr">
        <is>
          <t>⚪ รอผล</t>
        </is>
      </c>
      <c r="M144" s="46" t="inlineStr">
        <is>
          <t>ต่ำ</t>
        </is>
      </c>
      <c r="N144" s="46" t="n">
        <v>1</v>
      </c>
      <c r="O144" s="46" t="inlineStr">
        <is>
          <t>—</t>
        </is>
      </c>
      <c r="P144" s="46" t="n"/>
      <c r="Q144" s="46" t="n"/>
      <c r="R144" s="46" t="n"/>
      <c r="S144" s="46" t="n"/>
    </row>
    <row r="145" ht="15" customHeight="1">
      <c r="A145" s="46" t="inlineStr">
        <is>
          <t>PL763</t>
        </is>
      </c>
      <c r="B145" s="46" t="inlineStr">
        <is>
          <t>2026-03</t>
        </is>
      </c>
      <c r="C145" s="47" t="inlineStr">
        <is>
          <t>หจก.มัลติเคิล ลาจเน็จ</t>
        </is>
      </c>
      <c r="D145" s="46" t="inlineStr">
        <is>
          <t>B2B หจก.</t>
        </is>
      </c>
      <c r="E145" s="46" t="inlineStr">
        <is>
          <t>LKT. 2026-03 -PL763</t>
        </is>
      </c>
      <c r="F145" s="46" t="n"/>
      <c r="G145" s="46" t="inlineStr">
        <is>
          <t>อื่นๆ</t>
        </is>
      </c>
      <c r="H145" s="48" t="inlineStr">
        <is>
          <t>โคมไฟถนนหลังเตา E40 HPS 250W อุปกรณ Philips</t>
        </is>
      </c>
      <c r="I145" s="49" t="n">
        <v>244647.2</v>
      </c>
      <c r="J145" s="49" t="n">
        <v>17125.3</v>
      </c>
      <c r="K145" s="49" t="n">
        <v>261772.5</v>
      </c>
      <c r="L145" s="46" t="inlineStr">
        <is>
          <t>⚪ รอผล</t>
        </is>
      </c>
      <c r="M145" s="46" t="inlineStr">
        <is>
          <t>ต่ำ</t>
        </is>
      </c>
      <c r="N145" s="46" t="n">
        <v>1</v>
      </c>
      <c r="O145" s="46" t="inlineStr">
        <is>
          <t>—</t>
        </is>
      </c>
      <c r="P145" s="46" t="n"/>
      <c r="Q145" s="46" t="n"/>
      <c r="R145" s="46" t="n"/>
      <c r="S145" s="46" t="n"/>
    </row>
    <row r="146" ht="15" customHeight="1">
      <c r="A146" s="46" t="inlineStr">
        <is>
          <t>PL764</t>
        </is>
      </c>
      <c r="B146" s="46" t="inlineStr">
        <is>
          <t>2026-03</t>
        </is>
      </c>
      <c r="C146" s="47" t="inlineStr">
        <is>
          <t>บ.ไทยรุ่งเรืองอุตสาหกรรม ไฮแมส</t>
        </is>
      </c>
      <c r="D146" s="46" t="inlineStr">
        <is>
          <t>B2B อื่นๆ</t>
        </is>
      </c>
      <c r="E146" s="46" t="inlineStr">
        <is>
          <t>LKT. 2026-03 -PL764</t>
        </is>
      </c>
      <c r="F146" s="46" t="n"/>
      <c r="G146" s="46" t="inlineStr">
        <is>
          <t>High Mast</t>
        </is>
      </c>
      <c r="H146" s="48" t="inlineStr">
        <is>
          <t>High mast Pole 15 M วงแหวน 10 โคม เหล็ก 3.2, 2.5 มม.</t>
        </is>
      </c>
      <c r="I146" s="49" t="n">
        <v>169834</v>
      </c>
      <c r="J146" s="49" t="n">
        <v>11888.38</v>
      </c>
      <c r="K146" s="49" t="n">
        <v>181722.38</v>
      </c>
      <c r="L146" s="46" t="inlineStr">
        <is>
          <t>⚪ รอผล</t>
        </is>
      </c>
      <c r="M146" s="46" t="inlineStr">
        <is>
          <t>ต่ำ</t>
        </is>
      </c>
      <c r="N146" s="46" t="n">
        <v>1</v>
      </c>
      <c r="O146" s="46" t="inlineStr">
        <is>
          <t>—</t>
        </is>
      </c>
      <c r="P146" s="46" t="n"/>
      <c r="Q146" s="46" t="n"/>
      <c r="R146" s="46" t="n"/>
      <c r="S146" s="46" t="n"/>
    </row>
    <row r="147" ht="15" customHeight="1">
      <c r="A147" s="46" t="inlineStr">
        <is>
          <t>PL765</t>
        </is>
      </c>
      <c r="B147" s="46" t="inlineStr">
        <is>
          <t>2026-03</t>
        </is>
      </c>
      <c r="C147" s="47" t="inlineStr">
        <is>
          <t>สมบูรณ์อิเล็คทริค</t>
        </is>
      </c>
      <c r="D147" s="46" t="inlineStr">
        <is>
          <t>B2B อื่นๆ</t>
        </is>
      </c>
      <c r="E147" s="46" t="inlineStr">
        <is>
          <t>LKT. 2026-03 -PL765</t>
        </is>
      </c>
      <c r="F147" s="46" t="n"/>
      <c r="G147" s="46" t="inlineStr">
        <is>
          <t>อื่นๆ</t>
        </is>
      </c>
      <c r="H147" s="48" t="inlineStr">
        <is>
          <t>อื่นๆ</t>
        </is>
      </c>
      <c r="I147" s="49" t="n">
        <v>56531.22</v>
      </c>
      <c r="J147" s="49" t="n">
        <v>3957.19</v>
      </c>
      <c r="K147" s="49" t="n">
        <v>60488.41</v>
      </c>
      <c r="L147" s="46" t="inlineStr">
        <is>
          <t>⚪ รอผล</t>
        </is>
      </c>
      <c r="M147" s="46" t="inlineStr">
        <is>
          <t>ต่ำ</t>
        </is>
      </c>
      <c r="N147" s="46" t="n">
        <v>0</v>
      </c>
      <c r="O147" s="46" t="inlineStr">
        <is>
          <t>—</t>
        </is>
      </c>
      <c r="P147" s="46" t="n"/>
      <c r="Q147" s="46" t="n"/>
      <c r="R147" s="46" t="n"/>
      <c r="S147" s="46" t="n"/>
    </row>
    <row r="148" ht="15" customHeight="1">
      <c r="A148" s="46" t="inlineStr">
        <is>
          <t>PL766</t>
        </is>
      </c>
      <c r="B148" s="46" t="inlineStr">
        <is>
          <t>2026-03</t>
        </is>
      </c>
      <c r="C148" s="47" t="inlineStr">
        <is>
          <t>องค์การบริหารส่วนตำบลทุ่งลูกนก</t>
        </is>
      </c>
      <c r="D148" s="46" t="inlineStr">
        <is>
          <t>B2B อื่นๆ</t>
        </is>
      </c>
      <c r="E148" s="46" t="inlineStr">
        <is>
          <t>LKT. 2026-03 -PL766</t>
        </is>
      </c>
      <c r="F148" s="46" t="n"/>
      <c r="G148" s="46" t="inlineStr">
        <is>
          <t>High Mast</t>
        </is>
      </c>
      <c r="H148" s="48" t="inlineStr">
        <is>
          <t>High mast Pole 20 M วงแหวน 6 โคม เหล็ก 3.2 มม.</t>
        </is>
      </c>
      <c r="I148" s="49" t="n">
        <v>133966</v>
      </c>
      <c r="J148" s="49" t="n">
        <v>9377.620000000001</v>
      </c>
      <c r="K148" s="49" t="n">
        <v>143343.62</v>
      </c>
      <c r="L148" s="46" t="inlineStr">
        <is>
          <t>⚪ รอผล</t>
        </is>
      </c>
      <c r="M148" s="46" t="inlineStr">
        <is>
          <t>ต่ำ</t>
        </is>
      </c>
      <c r="N148" s="46" t="n">
        <v>1</v>
      </c>
      <c r="O148" s="46" t="inlineStr">
        <is>
          <t>—</t>
        </is>
      </c>
      <c r="P148" s="46" t="n"/>
      <c r="Q148" s="46" t="n"/>
      <c r="R148" s="46" t="n"/>
      <c r="S148" s="46" t="n"/>
    </row>
    <row r="149" ht="15" customHeight="1">
      <c r="A149" s="46" t="inlineStr">
        <is>
          <t>PL767</t>
        </is>
      </c>
      <c r="B149" s="46" t="inlineStr">
        <is>
          <t>2026-03</t>
        </is>
      </c>
      <c r="C149" s="47" t="inlineStr">
        <is>
          <t>ออฟฟิศเมท โลจิสติกส์</t>
        </is>
      </c>
      <c r="D149" s="46" t="inlineStr">
        <is>
          <t>B2B อื่นๆ</t>
        </is>
      </c>
      <c r="E149" s="46" t="inlineStr">
        <is>
          <t>LKT. 2026-03 -PL767</t>
        </is>
      </c>
      <c r="F149" s="46" t="n"/>
      <c r="G149" s="46" t="inlineStr">
        <is>
          <t>High Mast</t>
        </is>
      </c>
      <c r="H149" s="48" t="inlineStr">
        <is>
          <t>High mast Pole 20 M วงแหวน 6 โคม เหล็ก 3.2 มม.</t>
        </is>
      </c>
      <c r="I149" s="49" t="n">
        <v>133966</v>
      </c>
      <c r="J149" s="49" t="n">
        <v>9377.620000000001</v>
      </c>
      <c r="K149" s="49" t="n">
        <v>143343.62</v>
      </c>
      <c r="L149" s="46" t="inlineStr">
        <is>
          <t>⚪ รอผล</t>
        </is>
      </c>
      <c r="M149" s="46" t="inlineStr">
        <is>
          <t>ต่ำ</t>
        </is>
      </c>
      <c r="N149" s="46" t="n">
        <v>1</v>
      </c>
      <c r="O149" s="46" t="inlineStr">
        <is>
          <t>—</t>
        </is>
      </c>
      <c r="P149" s="46" t="n"/>
      <c r="Q149" s="46" t="n"/>
      <c r="R149" s="46" t="n"/>
      <c r="S149" s="46" t="n"/>
    </row>
    <row r="150" ht="15" customHeight="1">
      <c r="A150" s="38" t="inlineStr">
        <is>
          <t>PL768</t>
        </is>
      </c>
      <c r="B150" s="38" t="inlineStr">
        <is>
          <t>2026-03</t>
        </is>
      </c>
      <c r="C150" s="39" t="inlineStr">
        <is>
          <t>คุณปรีชา จันทร์ดี</t>
        </is>
      </c>
      <c r="D150" s="38" t="inlineStr">
        <is>
          <t>B2C บุคคล</t>
        </is>
      </c>
      <c r="E150" s="38" t="inlineStr">
        <is>
          <t>LKT. 2026-03 -PL768</t>
        </is>
      </c>
      <c r="F150" s="38" t="n"/>
      <c r="G150" s="38" t="inlineStr">
        <is>
          <t>เสาไฟถนน</t>
        </is>
      </c>
      <c r="H150" s="40" t="inlineStr">
        <is>
          <t>Pole With Bracket 6M-T4-TR</t>
        </is>
      </c>
      <c r="I150" s="41" t="n">
        <v>582000</v>
      </c>
      <c r="J150" s="41" t="n">
        <v>40740</v>
      </c>
      <c r="K150" s="41" t="n">
        <v>622740</v>
      </c>
      <c r="L150" s="38" t="inlineStr">
        <is>
          <t>📋 ติดตาม</t>
        </is>
      </c>
      <c r="M150" s="38" t="inlineStr">
        <is>
          <t>กลาง</t>
        </is>
      </c>
      <c r="N150" s="38" t="n">
        <v>1</v>
      </c>
      <c r="O150" s="38" t="inlineStr">
        <is>
          <t>—</t>
        </is>
      </c>
      <c r="P150" s="38" t="n"/>
      <c r="Q150" s="38" t="n"/>
      <c r="R150" s="38" t="n"/>
      <c r="S150" s="38" t="n"/>
    </row>
    <row r="151" ht="15" customHeight="1">
      <c r="A151" s="46" t="inlineStr">
        <is>
          <t>PL769</t>
        </is>
      </c>
      <c r="B151" s="46" t="inlineStr">
        <is>
          <t>2026-03</t>
        </is>
      </c>
      <c r="C151" s="47" t="inlineStr">
        <is>
          <t>R00  บริษัท สุเบญจา จำกัด</t>
        </is>
      </c>
      <c r="D151" s="46" t="inlineStr">
        <is>
          <t>B2B บริษัท</t>
        </is>
      </c>
      <c r="E151" s="46" t="inlineStr">
        <is>
          <t>LKT. 2026-03 -PL769</t>
        </is>
      </c>
      <c r="F151" s="46" t="n"/>
      <c r="G151" s="46" t="inlineStr">
        <is>
          <t>เสาไฟถนน</t>
        </is>
      </c>
      <c r="H151" s="48" t="inlineStr">
        <is>
          <t>Pole With Bracket 8M-T4-TR</t>
        </is>
      </c>
      <c r="I151" s="49" t="n">
        <v>140916.75</v>
      </c>
      <c r="J151" s="49" t="n">
        <v>9864.17</v>
      </c>
      <c r="K151" s="49" t="n">
        <v>150780.92</v>
      </c>
      <c r="L151" s="46" t="inlineStr">
        <is>
          <t>⚪ รอผล</t>
        </is>
      </c>
      <c r="M151" s="46" t="inlineStr">
        <is>
          <t>ต่ำ</t>
        </is>
      </c>
      <c r="N151" s="46" t="n">
        <v>1</v>
      </c>
      <c r="O151" s="46" t="inlineStr">
        <is>
          <t>—</t>
        </is>
      </c>
      <c r="P151" s="46" t="n"/>
      <c r="Q151" s="46" t="n"/>
      <c r="R151" s="46" t="n"/>
      <c r="S151" s="46" t="n"/>
    </row>
    <row r="152" ht="15" customHeight="1">
      <c r="A152" s="38" t="inlineStr">
        <is>
          <t>PL770</t>
        </is>
      </c>
      <c r="B152" s="38" t="inlineStr">
        <is>
          <t>2026-03</t>
        </is>
      </c>
      <c r="C152" s="39" t="inlineStr">
        <is>
          <t>R00  บริษัท เค.บี.เอ็ม . เทคโนโลยีส์ จำกัด -8M</t>
        </is>
      </c>
      <c r="D152" s="38" t="inlineStr">
        <is>
          <t>B2B บริษัท</t>
        </is>
      </c>
      <c r="E152" s="38" t="inlineStr">
        <is>
          <t>LKT. 2026-03 -PL770</t>
        </is>
      </c>
      <c r="F152" s="38" t="n"/>
      <c r="G152" s="38" t="inlineStr">
        <is>
          <t>เสาไฟถนน</t>
        </is>
      </c>
      <c r="H152" s="40" t="inlineStr">
        <is>
          <t>Post Top Pole 8M-T4-TR</t>
        </is>
      </c>
      <c r="I152" s="41" t="n">
        <v>546758.25</v>
      </c>
      <c r="J152" s="41" t="n">
        <v>38273.08</v>
      </c>
      <c r="K152" s="41" t="n">
        <v>585031.33</v>
      </c>
      <c r="L152" s="38" t="inlineStr">
        <is>
          <t>📋 ติดตาม</t>
        </is>
      </c>
      <c r="M152" s="38" t="inlineStr">
        <is>
          <t>กลาง</t>
        </is>
      </c>
      <c r="N152" s="38" t="n">
        <v>1</v>
      </c>
      <c r="O152" s="38" t="inlineStr">
        <is>
          <t>—</t>
        </is>
      </c>
      <c r="P152" s="38" t="n"/>
      <c r="Q152" s="38" t="n"/>
      <c r="R152" s="38" t="n"/>
      <c r="S152" s="38" t="n"/>
    </row>
    <row r="153" ht="15" customHeight="1">
      <c r="A153" s="42" t="inlineStr">
        <is>
          <t>PL771</t>
        </is>
      </c>
      <c r="B153" s="42" t="inlineStr">
        <is>
          <t>2026-03</t>
        </is>
      </c>
      <c r="C153" s="43" t="inlineStr">
        <is>
          <t>ดับเบิ้ลเอ เอ็นจิเนียริ่ง  Hight Mass 15</t>
        </is>
      </c>
      <c r="D153" s="42" t="inlineStr">
        <is>
          <t>B2B อื่นๆ</t>
        </is>
      </c>
      <c r="E153" s="42" t="inlineStr">
        <is>
          <t>LKT. 2026-03 -PL771</t>
        </is>
      </c>
      <c r="F153" s="42" t="n"/>
      <c r="G153" s="42" t="inlineStr">
        <is>
          <t>High Mast</t>
        </is>
      </c>
      <c r="H153" s="44" t="inlineStr">
        <is>
          <t>High mast Pole 15 M วงแหวน 8 โคม เหล็ก 3.2, 2.5 มม.</t>
        </is>
      </c>
      <c r="I153" s="45" t="n">
        <v>1137388</v>
      </c>
      <c r="J153" s="45" t="n">
        <v>79617.16</v>
      </c>
      <c r="K153" s="45" t="n">
        <v>1217005.16</v>
      </c>
      <c r="L153" s="42" t="inlineStr">
        <is>
          <t>📞 ติดตาม-High</t>
        </is>
      </c>
      <c r="M153" s="42" t="inlineStr">
        <is>
          <t>สูง</t>
        </is>
      </c>
      <c r="N153" s="42" t="n">
        <v>1</v>
      </c>
      <c r="O153" s="42" t="inlineStr">
        <is>
          <t>—</t>
        </is>
      </c>
      <c r="P153" s="42" t="n"/>
      <c r="Q153" s="42" t="n"/>
      <c r="R153" s="42" t="n"/>
      <c r="S153" s="42" t="n"/>
    </row>
    <row r="154" ht="15" customHeight="1">
      <c r="A154" s="42" t="inlineStr">
        <is>
          <t>PL772</t>
        </is>
      </c>
      <c r="B154" s="42" t="inlineStr">
        <is>
          <t>2026-03</t>
        </is>
      </c>
      <c r="C154" s="43" t="inlineStr">
        <is>
          <t>บ.ควินตัส แอดวานซ์</t>
        </is>
      </c>
      <c r="D154" s="42" t="inlineStr">
        <is>
          <t>B2B อื่นๆ</t>
        </is>
      </c>
      <c r="E154" s="42" t="inlineStr">
        <is>
          <t>LKT. 2026-02 -PL772</t>
        </is>
      </c>
      <c r="F154" s="42" t="n"/>
      <c r="G154" s="42" t="inlineStr">
        <is>
          <t>High Mast</t>
        </is>
      </c>
      <c r="H154" s="44" t="inlineStr">
        <is>
          <t>High Mast 25M+Support 3ชั้น H1400 L3400 12โคม</t>
        </is>
      </c>
      <c r="I154" s="45" t="n">
        <v>1299540</v>
      </c>
      <c r="J154" s="45" t="n">
        <v>90967.8</v>
      </c>
      <c r="K154" s="45" t="n">
        <v>1390507.8</v>
      </c>
      <c r="L154" s="42" t="inlineStr">
        <is>
          <t>📞 ติดตาม-High</t>
        </is>
      </c>
      <c r="M154" s="42" t="inlineStr">
        <is>
          <t>สูง</t>
        </is>
      </c>
      <c r="N154" s="42" t="n">
        <v>1</v>
      </c>
      <c r="O154" s="42" t="inlineStr">
        <is>
          <t>DOA</t>
        </is>
      </c>
      <c r="P154" s="42" t="n"/>
      <c r="Q154" s="42" t="n"/>
      <c r="R154" s="42" t="n"/>
      <c r="S154" s="42" t="n"/>
    </row>
    <row r="155" ht="15" customHeight="1">
      <c r="A155" s="46" t="inlineStr">
        <is>
          <t>PL773</t>
        </is>
      </c>
      <c r="B155" s="46" t="inlineStr">
        <is>
          <t>2026-03</t>
        </is>
      </c>
      <c r="C155" s="47" t="inlineStr">
        <is>
          <t>ป.ธีรวุฒิ</t>
        </is>
      </c>
      <c r="D155" s="46" t="inlineStr">
        <is>
          <t>B2B อื่นๆ</t>
        </is>
      </c>
      <c r="E155" s="46" t="inlineStr">
        <is>
          <t>LKT. 2026-03 -PL773</t>
        </is>
      </c>
      <c r="F155" s="46" t="n"/>
      <c r="G155" s="46" t="inlineStr">
        <is>
          <t>High Mast</t>
        </is>
      </c>
      <c r="H155" s="48" t="inlineStr">
        <is>
          <t>High mast Pole 15 M วงแหวน 6 โคม เหล็ก 4.5 มม.</t>
        </is>
      </c>
      <c r="I155" s="49" t="n">
        <v>198548</v>
      </c>
      <c r="J155" s="49" t="n">
        <v>13898.36</v>
      </c>
      <c r="K155" s="49" t="n">
        <v>212446.36</v>
      </c>
      <c r="L155" s="46" t="inlineStr">
        <is>
          <t>⚪ รอผล</t>
        </is>
      </c>
      <c r="M155" s="46" t="inlineStr">
        <is>
          <t>ต่ำ</t>
        </is>
      </c>
      <c r="N155" s="46" t="n">
        <v>1</v>
      </c>
      <c r="O155" s="46" t="inlineStr">
        <is>
          <t>—</t>
        </is>
      </c>
      <c r="P155" s="46" t="n"/>
      <c r="Q155" s="46" t="n"/>
      <c r="R155" s="46" t="n"/>
      <c r="S155" s="46" t="n"/>
    </row>
    <row r="156" ht="15" customHeight="1">
      <c r="A156" s="46" t="inlineStr">
        <is>
          <t>PL774</t>
        </is>
      </c>
      <c r="B156" s="46" t="inlineStr">
        <is>
          <t>2026-03</t>
        </is>
      </c>
      <c r="C156" s="47" t="inlineStr">
        <is>
          <t>แลนด์แอนด์ซี</t>
        </is>
      </c>
      <c r="D156" s="46" t="inlineStr">
        <is>
          <t>B2B อื่นๆ</t>
        </is>
      </c>
      <c r="E156" s="46" t="inlineStr">
        <is>
          <t>LKT. 2026-02 -PL774</t>
        </is>
      </c>
      <c r="F156" s="46" t="n"/>
      <c r="G156" s="46" t="inlineStr">
        <is>
          <t>เสาไฟถนน</t>
        </is>
      </c>
      <c r="H156" s="48" t="inlineStr">
        <is>
          <t>เสาตัว T สูง 10M +Support OD101.6 H0.5M 4t LED 4 โคม</t>
        </is>
      </c>
      <c r="I156" s="49" t="n">
        <v>48500</v>
      </c>
      <c r="J156" s="49" t="n">
        <v>3395</v>
      </c>
      <c r="K156" s="49" t="n">
        <v>51895</v>
      </c>
      <c r="L156" s="46" t="inlineStr">
        <is>
          <t>⚪ รอผล</t>
        </is>
      </c>
      <c r="M156" s="46" t="inlineStr">
        <is>
          <t>ต่ำ</t>
        </is>
      </c>
      <c r="N156" s="46" t="n">
        <v>1</v>
      </c>
      <c r="O156" s="46" t="inlineStr">
        <is>
          <t>—</t>
        </is>
      </c>
      <c r="P156" s="46" t="n"/>
      <c r="Q156" s="46" t="n"/>
      <c r="R156" s="46" t="n"/>
      <c r="S156" s="46" t="n"/>
    </row>
    <row r="157" ht="15" customHeight="1">
      <c r="A157" s="46" t="inlineStr">
        <is>
          <t>PL775</t>
        </is>
      </c>
      <c r="B157" s="46" t="inlineStr">
        <is>
          <t>2026-03</t>
        </is>
      </c>
      <c r="C157" s="47" t="inlineStr">
        <is>
          <t>ดำรงกุลการโยธา</t>
        </is>
      </c>
      <c r="D157" s="46" t="inlineStr">
        <is>
          <t>B2B อื่นๆ</t>
        </is>
      </c>
      <c r="E157" s="46" t="inlineStr">
        <is>
          <t>LKT. 2026-03 -PL775</t>
        </is>
      </c>
      <c r="F157" s="46" t="n"/>
      <c r="G157" s="46" t="inlineStr">
        <is>
          <t>High Mast</t>
        </is>
      </c>
      <c r="H157" s="48" t="inlineStr">
        <is>
          <t>High mast Pole 15 M วงแหวน 8 โคม เหล็ก 4.5 มม.</t>
        </is>
      </c>
      <c r="I157" s="49" t="n">
        <v>142198</v>
      </c>
      <c r="J157" s="49" t="n">
        <v>9953.860000000001</v>
      </c>
      <c r="K157" s="49" t="n">
        <v>152151.86</v>
      </c>
      <c r="L157" s="46" t="inlineStr">
        <is>
          <t>⚪ รอผล</t>
        </is>
      </c>
      <c r="M157" s="46" t="inlineStr">
        <is>
          <t>ต่ำ</t>
        </is>
      </c>
      <c r="N157" s="46" t="n">
        <v>1</v>
      </c>
      <c r="O157" s="46" t="inlineStr">
        <is>
          <t>—</t>
        </is>
      </c>
      <c r="P157" s="46" t="n"/>
      <c r="Q157" s="46" t="n"/>
      <c r="R157" s="46" t="n"/>
      <c r="S157" s="46" t="n"/>
    </row>
    <row r="158" ht="15" customHeight="1">
      <c r="A158" s="46" t="inlineStr">
        <is>
          <t>PL776</t>
        </is>
      </c>
      <c r="B158" s="46" t="inlineStr">
        <is>
          <t>2026-03</t>
        </is>
      </c>
      <c r="C158" s="47" t="inlineStr">
        <is>
          <t>เชียงราย เอส เอส พี</t>
        </is>
      </c>
      <c r="D158" s="46" t="inlineStr">
        <is>
          <t>B2B อื่นๆ</t>
        </is>
      </c>
      <c r="E158" s="46" t="inlineStr">
        <is>
          <t>LKT. 2026-03 -PL776</t>
        </is>
      </c>
      <c r="F158" s="46" t="n"/>
      <c r="G158" s="46" t="inlineStr">
        <is>
          <t>เสาไฟถนน</t>
        </is>
      </c>
      <c r="H158" s="48" t="inlineStr">
        <is>
          <t>Pole With Bracket 6M-T4-TR</t>
        </is>
      </c>
      <c r="I158" s="49" t="n">
        <v>80477.60000000001</v>
      </c>
      <c r="J158" s="49" t="n">
        <v>5633.43</v>
      </c>
      <c r="K158" s="49" t="n">
        <v>86111.03</v>
      </c>
      <c r="L158" s="46" t="inlineStr">
        <is>
          <t>⚪ รอผล</t>
        </is>
      </c>
      <c r="M158" s="46" t="inlineStr">
        <is>
          <t>ต่ำ</t>
        </is>
      </c>
      <c r="N158" s="46" t="n">
        <v>1</v>
      </c>
      <c r="O158" s="46" t="inlineStr">
        <is>
          <t>—</t>
        </is>
      </c>
      <c r="P158" s="46" t="n"/>
      <c r="Q158" s="46" t="n"/>
      <c r="R158" s="46" t="n"/>
      <c r="S158" s="46" t="n"/>
    </row>
    <row r="159" ht="15" customHeight="1">
      <c r="A159" s="38" t="inlineStr">
        <is>
          <t>PL777</t>
        </is>
      </c>
      <c r="B159" s="38" t="inlineStr">
        <is>
          <t>2026-03</t>
        </is>
      </c>
      <c r="C159" s="39" t="inlineStr">
        <is>
          <t>วิ-หลี</t>
        </is>
      </c>
      <c r="D159" s="38" t="inlineStr">
        <is>
          <t>B2B อื่นๆ</t>
        </is>
      </c>
      <c r="E159" s="38" t="inlineStr">
        <is>
          <t>LKT. 2026-03 -PL777</t>
        </is>
      </c>
      <c r="F159" s="38" t="n"/>
      <c r="G159" s="38" t="inlineStr">
        <is>
          <t>เสาไฟถนน</t>
        </is>
      </c>
      <c r="H159" s="40" t="inlineStr">
        <is>
          <t>Pole With Bracket 9M-T4-TR</t>
        </is>
      </c>
      <c r="I159" s="41" t="n">
        <v>699426</v>
      </c>
      <c r="J159" s="41" t="n">
        <v>48959.82</v>
      </c>
      <c r="K159" s="41" t="n">
        <v>748385.8199999999</v>
      </c>
      <c r="L159" s="38" t="inlineStr">
        <is>
          <t>📋 ติดตาม</t>
        </is>
      </c>
      <c r="M159" s="38" t="inlineStr">
        <is>
          <t>กลาง</t>
        </is>
      </c>
      <c r="N159" s="38" t="n">
        <v>1</v>
      </c>
      <c r="O159" s="38" t="inlineStr">
        <is>
          <t>—</t>
        </is>
      </c>
      <c r="P159" s="38" t="n"/>
      <c r="Q159" s="38" t="n"/>
      <c r="R159" s="38" t="n"/>
      <c r="S159" s="38" t="n"/>
    </row>
    <row r="160" ht="15" customHeight="1">
      <c r="A160" s="46" t="inlineStr">
        <is>
          <t>PL778</t>
        </is>
      </c>
      <c r="B160" s="46" t="inlineStr">
        <is>
          <t>2026-03</t>
        </is>
      </c>
      <c r="C160" s="47" t="inlineStr">
        <is>
          <t>ขนมชมพู</t>
        </is>
      </c>
      <c r="D160" s="46" t="inlineStr">
        <is>
          <t>B2B อื่นๆ</t>
        </is>
      </c>
      <c r="E160" s="46" t="inlineStr">
        <is>
          <t>LKT. 2026-03 -PL778</t>
        </is>
      </c>
      <c r="F160" s="46" t="n"/>
      <c r="G160" s="46" t="inlineStr">
        <is>
          <t>High Mast</t>
        </is>
      </c>
      <c r="H160" s="48" t="inlineStr">
        <is>
          <t>High mast Pole 15 M วงแหวน 8 โคม เหล็ก 4.5 มม.</t>
        </is>
      </c>
      <c r="I160" s="49" t="n">
        <v>179830</v>
      </c>
      <c r="J160" s="49" t="n">
        <v>12588.1</v>
      </c>
      <c r="K160" s="49" t="n">
        <v>192418.1</v>
      </c>
      <c r="L160" s="46" t="inlineStr">
        <is>
          <t>⚪ รอผล</t>
        </is>
      </c>
      <c r="M160" s="46" t="inlineStr">
        <is>
          <t>ต่ำ</t>
        </is>
      </c>
      <c r="N160" s="46" t="n">
        <v>1</v>
      </c>
      <c r="O160" s="46" t="inlineStr">
        <is>
          <t>—</t>
        </is>
      </c>
      <c r="P160" s="46" t="n"/>
      <c r="Q160" s="46" t="n"/>
      <c r="R160" s="46" t="n"/>
      <c r="S160" s="46" t="n"/>
    </row>
    <row r="161" ht="15" customHeight="1">
      <c r="A161" s="38" t="inlineStr">
        <is>
          <t>PL779</t>
        </is>
      </c>
      <c r="B161" s="38" t="inlineStr">
        <is>
          <t>2026-03</t>
        </is>
      </c>
      <c r="C161" s="39" t="inlineStr">
        <is>
          <t>ภูมิพฤกษา</t>
        </is>
      </c>
      <c r="D161" s="38" t="inlineStr">
        <is>
          <t>B2B อื่นๆ</t>
        </is>
      </c>
      <c r="E161" s="38" t="inlineStr">
        <is>
          <t>LKT. 2026-03 -PL779</t>
        </is>
      </c>
      <c r="F161" s="38" t="n"/>
      <c r="G161" s="38" t="inlineStr">
        <is>
          <t>High Mast</t>
        </is>
      </c>
      <c r="H161" s="40" t="inlineStr">
        <is>
          <t>High mast Pole 15 M วงแหวน 8 โคม เหล็ก 4.5 มม.</t>
        </is>
      </c>
      <c r="I161" s="41" t="n">
        <v>280770</v>
      </c>
      <c r="J161" s="41" t="n">
        <v>19653.9</v>
      </c>
      <c r="K161" s="41" t="n">
        <v>300423.9</v>
      </c>
      <c r="L161" s="38" t="inlineStr">
        <is>
          <t>📋 ติดตาม</t>
        </is>
      </c>
      <c r="M161" s="38" t="inlineStr">
        <is>
          <t>กลาง</t>
        </is>
      </c>
      <c r="N161" s="38" t="n">
        <v>1</v>
      </c>
      <c r="O161" s="38" t="inlineStr">
        <is>
          <t>—</t>
        </is>
      </c>
      <c r="P161" s="38" t="n"/>
      <c r="Q161" s="38" t="n"/>
      <c r="R161" s="38" t="n"/>
      <c r="S161" s="38" t="n"/>
    </row>
    <row r="162" ht="15" customHeight="1">
      <c r="A162" s="38" t="inlineStr">
        <is>
          <t>PL780</t>
        </is>
      </c>
      <c r="B162" s="38" t="inlineStr">
        <is>
          <t>2026-03</t>
        </is>
      </c>
      <c r="C162" s="39" t="inlineStr">
        <is>
          <t>ไชยวัฒน์</t>
        </is>
      </c>
      <c r="D162" s="38" t="inlineStr">
        <is>
          <t>B2B อื่นๆ</t>
        </is>
      </c>
      <c r="E162" s="38" t="inlineStr">
        <is>
          <t>LKT. 2026-03 -PL780</t>
        </is>
      </c>
      <c r="F162" s="38" t="n"/>
      <c r="G162" s="38" t="inlineStr">
        <is>
          <t>เสาไฟถนน</t>
        </is>
      </c>
      <c r="H162" s="40" t="inlineStr">
        <is>
          <t>Post Top Pole 5M-T4-TR</t>
        </is>
      </c>
      <c r="I162" s="41" t="n">
        <v>641410</v>
      </c>
      <c r="J162" s="41" t="n">
        <v>44898.7</v>
      </c>
      <c r="K162" s="41" t="n">
        <v>686308.7</v>
      </c>
      <c r="L162" s="38" t="inlineStr">
        <is>
          <t>📋 ติดตาม</t>
        </is>
      </c>
      <c r="M162" s="38" t="inlineStr">
        <is>
          <t>กลาง</t>
        </is>
      </c>
      <c r="N162" s="38" t="n">
        <v>1</v>
      </c>
      <c r="O162" s="38" t="inlineStr">
        <is>
          <t>—</t>
        </is>
      </c>
      <c r="P162" s="38" t="n"/>
      <c r="Q162" s="38" t="n"/>
      <c r="R162" s="38" t="n"/>
      <c r="S162" s="38" t="n"/>
    </row>
    <row r="163" ht="15" customHeight="1">
      <c r="A163" s="42" t="inlineStr">
        <is>
          <t>PL781</t>
        </is>
      </c>
      <c r="B163" s="42" t="inlineStr">
        <is>
          <t>2026-03</t>
        </is>
      </c>
      <c r="C163" s="43" t="inlineStr">
        <is>
          <t>อุดมไลท์ติ้ง</t>
        </is>
      </c>
      <c r="D163" s="42" t="inlineStr">
        <is>
          <t>B2B อื่นๆ</t>
        </is>
      </c>
      <c r="E163" s="42" t="inlineStr">
        <is>
          <t>LKT. 2026-03 -PL781</t>
        </is>
      </c>
      <c r="F163" s="42" t="n"/>
      <c r="G163" s="42" t="inlineStr">
        <is>
          <t>เสาไฟถนน</t>
        </is>
      </c>
      <c r="H163" s="44" t="inlineStr">
        <is>
          <t>Pole With Bracket 5M-T4-TR</t>
        </is>
      </c>
      <c r="I163" s="45" t="n">
        <v>2053590</v>
      </c>
      <c r="J163" s="45" t="n">
        <v>143751.3</v>
      </c>
      <c r="K163" s="45" t="n">
        <v>2197341.3</v>
      </c>
      <c r="L163" s="42" t="inlineStr">
        <is>
          <t>📞 ติดตาม-High</t>
        </is>
      </c>
      <c r="M163" s="42" t="inlineStr">
        <is>
          <t>สูง</t>
        </is>
      </c>
      <c r="N163" s="42" t="n">
        <v>1</v>
      </c>
      <c r="O163" s="42" t="inlineStr">
        <is>
          <t>—</t>
        </is>
      </c>
      <c r="P163" s="42" t="n"/>
      <c r="Q163" s="42" t="n"/>
      <c r="R163" s="42" t="n"/>
      <c r="S163" s="42" t="n"/>
    </row>
    <row r="164" ht="15" customHeight="1">
      <c r="A164" s="46" t="inlineStr">
        <is>
          <t>PL782</t>
        </is>
      </c>
      <c r="B164" s="46" t="inlineStr">
        <is>
          <t>2026-03</t>
        </is>
      </c>
      <c r="C164" s="47" t="inlineStr">
        <is>
          <t>วิษณุ เฮาส์</t>
        </is>
      </c>
      <c r="D164" s="46" t="inlineStr">
        <is>
          <t>B2B อื่นๆ</t>
        </is>
      </c>
      <c r="E164" s="46" t="inlineStr">
        <is>
          <t>LKT. 2026-01 -PL782</t>
        </is>
      </c>
      <c r="F164" s="46" t="n"/>
      <c r="G164" s="46" t="inlineStr">
        <is>
          <t>เสาไฟถนน</t>
        </is>
      </c>
      <c r="H164" s="48" t="inlineStr">
        <is>
          <t>Post Top Pole 6M</t>
        </is>
      </c>
      <c r="I164" s="49" t="n">
        <v>16660</v>
      </c>
      <c r="J164" s="49" t="n">
        <v>1166.2</v>
      </c>
      <c r="K164" s="49" t="n">
        <v>17826.2</v>
      </c>
      <c r="L164" s="46" t="inlineStr">
        <is>
          <t>⚪ รอผล</t>
        </is>
      </c>
      <c r="M164" s="46" t="inlineStr">
        <is>
          <t>ต่ำ</t>
        </is>
      </c>
      <c r="N164" s="46" t="n">
        <v>1</v>
      </c>
      <c r="O164" s="46" t="inlineStr">
        <is>
          <t>—</t>
        </is>
      </c>
      <c r="P164" s="46" t="n"/>
      <c r="Q164" s="46" t="n"/>
      <c r="R164" s="46" t="n"/>
      <c r="S164" s="46" t="n"/>
    </row>
    <row r="165" ht="15" customHeight="1">
      <c r="A165" s="42" t="inlineStr">
        <is>
          <t>PL783</t>
        </is>
      </c>
      <c r="B165" s="42" t="inlineStr">
        <is>
          <t>2026-03</t>
        </is>
      </c>
      <c r="C165" s="43" t="inlineStr">
        <is>
          <t>เอเชี่ยน</t>
        </is>
      </c>
      <c r="D165" s="42" t="inlineStr">
        <is>
          <t>B2B อื่นๆ</t>
        </is>
      </c>
      <c r="E165" s="42" t="inlineStr">
        <is>
          <t>LKT. 2026-03 -PL783</t>
        </is>
      </c>
      <c r="F165" s="42" t="n"/>
      <c r="G165" s="42" t="inlineStr">
        <is>
          <t>High Mast</t>
        </is>
      </c>
      <c r="H165" s="44" t="inlineStr">
        <is>
          <t>Pole With Bracket 6M-T4-TR</t>
        </is>
      </c>
      <c r="I165" s="45" t="n">
        <v>1031420.6</v>
      </c>
      <c r="J165" s="45" t="n">
        <v>72199.44</v>
      </c>
      <c r="K165" s="45" t="n">
        <v>1103620.04</v>
      </c>
      <c r="L165" s="42" t="inlineStr">
        <is>
          <t>📞 ติดตาม-High</t>
        </is>
      </c>
      <c r="M165" s="42" t="inlineStr">
        <is>
          <t>สูง</t>
        </is>
      </c>
      <c r="N165" s="42" t="n">
        <v>1</v>
      </c>
      <c r="O165" s="42" t="inlineStr">
        <is>
          <t>—</t>
        </is>
      </c>
      <c r="P165" s="42" t="n"/>
      <c r="Q165" s="42" t="n"/>
      <c r="R165" s="42" t="n"/>
      <c r="S165" s="42" t="n"/>
    </row>
    <row r="166" ht="15" customHeight="1">
      <c r="A166" s="46" t="inlineStr">
        <is>
          <t>PL784</t>
        </is>
      </c>
      <c r="B166" s="46" t="inlineStr">
        <is>
          <t>2026-03</t>
        </is>
      </c>
      <c r="C166" s="47" t="inlineStr">
        <is>
          <t>กรุงเทพคอนกรีต</t>
        </is>
      </c>
      <c r="D166" s="46" t="inlineStr">
        <is>
          <t>B2B อื่นๆ</t>
        </is>
      </c>
      <c r="E166" s="46" t="inlineStr">
        <is>
          <t>LKT. 2026-03 -PL784</t>
        </is>
      </c>
      <c r="F166" s="46" t="n"/>
      <c r="G166" s="46" t="inlineStr">
        <is>
          <t>อื่นๆ</t>
        </is>
      </c>
      <c r="H166" s="48" t="inlineStr">
        <is>
          <t>อื่นๆ</t>
        </is>
      </c>
      <c r="I166" s="49" t="n">
        <v>3333.64</v>
      </c>
      <c r="J166" s="49" t="n">
        <v>233.36</v>
      </c>
      <c r="K166" s="49" t="n">
        <v>3567</v>
      </c>
      <c r="L166" s="46" t="inlineStr">
        <is>
          <t>⚪ รอผล</t>
        </is>
      </c>
      <c r="M166" s="46" t="inlineStr">
        <is>
          <t>ต่ำ</t>
        </is>
      </c>
      <c r="N166" s="46" t="n">
        <v>0</v>
      </c>
      <c r="O166" s="46" t="inlineStr">
        <is>
          <t>—</t>
        </is>
      </c>
      <c r="P166" s="46" t="n"/>
      <c r="Q166" s="46" t="n"/>
      <c r="R166" s="46" t="n"/>
      <c r="S166" s="46" t="n"/>
    </row>
    <row r="167" ht="15" customHeight="1">
      <c r="A167" s="38" t="inlineStr">
        <is>
          <t>PL785</t>
        </is>
      </c>
      <c r="B167" s="38" t="inlineStr">
        <is>
          <t>2026-03</t>
        </is>
      </c>
      <c r="C167" s="39" t="inlineStr">
        <is>
          <t>เอเชี่ยน</t>
        </is>
      </c>
      <c r="D167" s="38" t="inlineStr">
        <is>
          <t>B2B อื่นๆ</t>
        </is>
      </c>
      <c r="E167" s="38" t="inlineStr">
        <is>
          <t>LKT. 2026-03 -PL783</t>
        </is>
      </c>
      <c r="F167" s="38" t="n"/>
      <c r="G167" s="38" t="inlineStr">
        <is>
          <t>เสาไฟถนน</t>
        </is>
      </c>
      <c r="H167" s="40" t="inlineStr">
        <is>
          <t>Pole With Bracket 4M-T3.2-TR</t>
        </is>
      </c>
      <c r="I167" s="41" t="n">
        <v>423536.4</v>
      </c>
      <c r="J167" s="41" t="n">
        <v>29647.55</v>
      </c>
      <c r="K167" s="41" t="n">
        <v>453183.95</v>
      </c>
      <c r="L167" s="38" t="inlineStr">
        <is>
          <t>📋 ติดตาม</t>
        </is>
      </c>
      <c r="M167" s="38" t="inlineStr">
        <is>
          <t>กลาง</t>
        </is>
      </c>
      <c r="N167" s="38" t="n">
        <v>1</v>
      </c>
      <c r="O167" s="38" t="inlineStr">
        <is>
          <t>—</t>
        </is>
      </c>
      <c r="P167" s="38" t="n"/>
      <c r="Q167" s="38" t="n"/>
      <c r="R167" s="38" t="n"/>
      <c r="S167" s="38" t="n"/>
    </row>
    <row r="168" ht="15" customHeight="1">
      <c r="A168" s="46" t="inlineStr">
        <is>
          <t>PL786</t>
        </is>
      </c>
      <c r="B168" s="46" t="inlineStr">
        <is>
          <t>2026-03</t>
        </is>
      </c>
      <c r="C168" s="47" t="inlineStr">
        <is>
          <t>พี เอ็นริช</t>
        </is>
      </c>
      <c r="D168" s="46" t="inlineStr">
        <is>
          <t>B2B อื่นๆ</t>
        </is>
      </c>
      <c r="E168" s="46" t="inlineStr">
        <is>
          <t>LKT. 2026-01 -PL786</t>
        </is>
      </c>
      <c r="F168" s="46" t="n"/>
      <c r="G168" s="46" t="inlineStr">
        <is>
          <t>เสาไฟถนน</t>
        </is>
      </c>
      <c r="H168" s="48" t="inlineStr">
        <is>
          <t>Pole With Bracket 4M-T3.2-TR</t>
        </is>
      </c>
      <c r="I168" s="49" t="n">
        <v>4165</v>
      </c>
      <c r="J168" s="49" t="n">
        <v>291.55</v>
      </c>
      <c r="K168" s="49" t="n">
        <v>4456.55</v>
      </c>
      <c r="L168" s="46" t="inlineStr">
        <is>
          <t>⚪ รอผล</t>
        </is>
      </c>
      <c r="M168" s="46" t="inlineStr">
        <is>
          <t>ต่ำ</t>
        </is>
      </c>
      <c r="N168" s="46" t="n">
        <v>1</v>
      </c>
      <c r="O168" s="46" t="inlineStr">
        <is>
          <t>—</t>
        </is>
      </c>
      <c r="P168" s="46" t="n"/>
      <c r="Q168" s="46" t="n"/>
      <c r="R168" s="46" t="n"/>
      <c r="S168" s="46" t="n"/>
    </row>
    <row r="169" ht="15" customHeight="1">
      <c r="A169" s="46" t="inlineStr">
        <is>
          <t>PL787</t>
        </is>
      </c>
      <c r="B169" s="46" t="inlineStr">
        <is>
          <t>2026-03</t>
        </is>
      </c>
      <c r="C169" s="47" t="inlineStr">
        <is>
          <t>ยูเอ็น เซอร์วิส</t>
        </is>
      </c>
      <c r="D169" s="46" t="inlineStr">
        <is>
          <t>B2B อื่นๆ</t>
        </is>
      </c>
      <c r="E169" s="46" t="inlineStr">
        <is>
          <t>LKT. 2026-01 -PL787</t>
        </is>
      </c>
      <c r="F169" s="46" t="n"/>
      <c r="G169" s="46" t="inlineStr">
        <is>
          <t>Guard Rail / การ์ดเรล</t>
        </is>
      </c>
      <c r="H169" s="48" t="inlineStr">
        <is>
          <t>เสาการดเรล OD100 H2.0M (เชื่อมเพลท)</t>
        </is>
      </c>
      <c r="I169" s="49" t="n">
        <v>5638.92</v>
      </c>
      <c r="J169" s="49" t="n">
        <v>394.72</v>
      </c>
      <c r="K169" s="49" t="n">
        <v>6033.64</v>
      </c>
      <c r="L169" s="46" t="inlineStr">
        <is>
          <t>⚪ รอผล</t>
        </is>
      </c>
      <c r="M169" s="46" t="inlineStr">
        <is>
          <t>ต่ำ</t>
        </is>
      </c>
      <c r="N169" s="46" t="n">
        <v>1</v>
      </c>
      <c r="O169" s="46" t="inlineStr">
        <is>
          <t>—</t>
        </is>
      </c>
      <c r="P169" s="46" t="n"/>
      <c r="Q169" s="46" t="n"/>
      <c r="R169" s="46" t="n"/>
      <c r="S169" s="46" t="n"/>
    </row>
    <row r="170" ht="15" customHeight="1">
      <c r="A170" s="46" t="inlineStr">
        <is>
          <t>PL789</t>
        </is>
      </c>
      <c r="B170" s="46" t="inlineStr">
        <is>
          <t>2026-03</t>
        </is>
      </c>
      <c r="C170" s="47" t="inlineStr">
        <is>
          <t>ไทย-ซีอาร์ซี</t>
        </is>
      </c>
      <c r="D170" s="46" t="inlineStr">
        <is>
          <t>B2B อื่นๆ</t>
        </is>
      </c>
      <c r="E170" s="46" t="inlineStr">
        <is>
          <t>LKT. 2026-03-PL789</t>
        </is>
      </c>
      <c r="F170" s="46" t="inlineStr">
        <is>
          <t>7 เมษายน 2026</t>
        </is>
      </c>
      <c r="G170" s="46" t="inlineStr">
        <is>
          <t>อื่นๆ</t>
        </is>
      </c>
      <c r="H170" s="48" t="inlineStr">
        <is>
          <t>อื่นๆ</t>
        </is>
      </c>
      <c r="I170" s="49" t="n">
        <v>102128.98</v>
      </c>
      <c r="J170" s="49" t="n">
        <v>7149.03</v>
      </c>
      <c r="K170" s="49" t="n">
        <v>109278.01</v>
      </c>
      <c r="L170" s="46" t="inlineStr">
        <is>
          <t>⚪ รอผล</t>
        </is>
      </c>
      <c r="M170" s="46" t="inlineStr">
        <is>
          <t>ต่ำ</t>
        </is>
      </c>
      <c r="N170" s="46" t="n">
        <v>0</v>
      </c>
      <c r="O170" s="46" t="inlineStr">
        <is>
          <t>—</t>
        </is>
      </c>
      <c r="P170" s="46" t="n"/>
      <c r="Q170" s="46" t="n"/>
      <c r="R170" s="46" t="n"/>
      <c r="S170" s="46" t="n"/>
    </row>
    <row r="171" ht="15" customHeight="1">
      <c r="A171" s="46" t="inlineStr">
        <is>
          <t>PL790</t>
        </is>
      </c>
      <c r="B171" s="46" t="inlineStr">
        <is>
          <t>2026-03</t>
        </is>
      </c>
      <c r="C171" s="47" t="inlineStr">
        <is>
          <t>ปิยบุตร</t>
        </is>
      </c>
      <c r="D171" s="46" t="inlineStr">
        <is>
          <t>B2B อื่นๆ</t>
        </is>
      </c>
      <c r="E171" s="46" t="inlineStr">
        <is>
          <t>LKT. 2026-01 -PL789</t>
        </is>
      </c>
      <c r="F171" s="46" t="n"/>
      <c r="G171" s="46" t="inlineStr">
        <is>
          <t>อื่นๆ</t>
        </is>
      </c>
      <c r="H171" s="48" t="inlineStr">
        <is>
          <t>อื่นๆ</t>
        </is>
      </c>
      <c r="I171" s="49" t="n">
        <v>0</v>
      </c>
      <c r="J171" s="49" t="n">
        <v>0</v>
      </c>
      <c r="K171" s="49" t="n">
        <v>0</v>
      </c>
      <c r="L171" s="46" t="inlineStr">
        <is>
          <t>⚪ รอผล</t>
        </is>
      </c>
      <c r="M171" s="46" t="inlineStr">
        <is>
          <t>ต่ำ</t>
        </is>
      </c>
      <c r="N171" s="46" t="n">
        <v>0</v>
      </c>
      <c r="O171" s="46" t="inlineStr">
        <is>
          <t>—</t>
        </is>
      </c>
      <c r="P171" s="46" t="n"/>
      <c r="Q171" s="46" t="n"/>
      <c r="R171" s="46" t="n"/>
      <c r="S171" s="46" t="n"/>
    </row>
    <row r="172" ht="15" customHeight="1">
      <c r="A172" s="46" t="inlineStr">
        <is>
          <t>PL793</t>
        </is>
      </c>
      <c r="B172" s="46" t="inlineStr">
        <is>
          <t>2026-03</t>
        </is>
      </c>
      <c r="C172" s="47" t="inlineStr">
        <is>
          <t>เจแอล มอเตอร์</t>
        </is>
      </c>
      <c r="D172" s="46" t="inlineStr">
        <is>
          <t>B2B อื่นๆ</t>
        </is>
      </c>
      <c r="E172" s="46" t="inlineStr">
        <is>
          <t>LKT. 2026-02 -PL714</t>
        </is>
      </c>
      <c r="F172" s="46" t="n"/>
      <c r="G172" s="46" t="inlineStr">
        <is>
          <t>อื่นๆ</t>
        </is>
      </c>
      <c r="H172" s="48" t="inlineStr">
        <is>
          <t>อื่นๆ</t>
        </is>
      </c>
      <c r="I172" s="49" t="n">
        <v>143269.5</v>
      </c>
      <c r="J172" s="49" t="n">
        <v>10028.87</v>
      </c>
      <c r="K172" s="49" t="n">
        <v>153298.37</v>
      </c>
      <c r="L172" s="46" t="inlineStr">
        <is>
          <t>⚪ รอผล</t>
        </is>
      </c>
      <c r="M172" s="46" t="inlineStr">
        <is>
          <t>ต่ำ</t>
        </is>
      </c>
      <c r="N172" s="46" t="n">
        <v>0</v>
      </c>
      <c r="O172" s="46" t="inlineStr">
        <is>
          <t>—</t>
        </is>
      </c>
      <c r="P172" s="46" t="n"/>
      <c r="Q172" s="46" t="n"/>
      <c r="R172" s="46" t="n"/>
      <c r="S172" s="46" t="n"/>
    </row>
    <row r="173" ht="15" customHeight="1">
      <c r="A173" s="46" t="inlineStr">
        <is>
          <t>PL795</t>
        </is>
      </c>
      <c r="B173" s="46" t="inlineStr">
        <is>
          <t>2026-03</t>
        </is>
      </c>
      <c r="C173" s="47" t="inlineStr">
        <is>
          <t>พี เอ็น ริช</t>
        </is>
      </c>
      <c r="D173" s="46" t="inlineStr">
        <is>
          <t>B2B อื่นๆ</t>
        </is>
      </c>
      <c r="E173" s="46" t="inlineStr">
        <is>
          <t>LKT. 2026-04 -PL795</t>
        </is>
      </c>
      <c r="F173" s="46" t="inlineStr">
        <is>
          <t>2 เมษายน 2026</t>
        </is>
      </c>
      <c r="G173" s="46" t="inlineStr">
        <is>
          <t>เสาไฟถนน</t>
        </is>
      </c>
      <c r="H173" s="48" t="inlineStr">
        <is>
          <t>Pole With Bracket 5M-T4-TR</t>
        </is>
      </c>
      <c r="I173" s="49" t="n">
        <v>7095.2</v>
      </c>
      <c r="J173" s="49" t="n">
        <v>496.66</v>
      </c>
      <c r="K173" s="49" t="n">
        <v>7591.86</v>
      </c>
      <c r="L173" s="46" t="inlineStr">
        <is>
          <t>⚪ รอผล</t>
        </is>
      </c>
      <c r="M173" s="46" t="inlineStr">
        <is>
          <t>ต่ำ</t>
        </is>
      </c>
      <c r="N173" s="46" t="n">
        <v>1</v>
      </c>
      <c r="O173" s="46" t="inlineStr">
        <is>
          <t>—</t>
        </is>
      </c>
      <c r="P173" s="46" t="n"/>
      <c r="Q173" s="46" t="n"/>
      <c r="R173" s="46" t="n"/>
      <c r="S173" s="46" t="n"/>
    </row>
    <row r="174" ht="15" customHeight="1">
      <c r="A174" s="46" t="inlineStr">
        <is>
          <t>PL798</t>
        </is>
      </c>
      <c r="B174" s="46" t="inlineStr">
        <is>
          <t>2026-04</t>
        </is>
      </c>
      <c r="C174" s="47" t="inlineStr">
        <is>
          <t>เอสทีจี</t>
        </is>
      </c>
      <c r="D174" s="46" t="inlineStr">
        <is>
          <t>B2B อื่นๆ</t>
        </is>
      </c>
      <c r="E174" s="46" t="inlineStr">
        <is>
          <t>LKT. 2026-04 -PL798</t>
        </is>
      </c>
      <c r="F174" s="46" t="inlineStr">
        <is>
          <t>2 เมษายน 2026</t>
        </is>
      </c>
      <c r="G174" s="46" t="inlineStr">
        <is>
          <t>เสาไฟถนน</t>
        </is>
      </c>
      <c r="H174" s="48" t="inlineStr">
        <is>
          <t>Pole With Bracket 9M-T4-TR</t>
        </is>
      </c>
      <c r="I174" s="49" t="n">
        <v>151988.2</v>
      </c>
      <c r="J174" s="49" t="n">
        <v>10639.17</v>
      </c>
      <c r="K174" s="49" t="n">
        <v>162627.37</v>
      </c>
      <c r="L174" s="46" t="inlineStr">
        <is>
          <t>⚪ รอผล</t>
        </is>
      </c>
      <c r="M174" s="46" t="inlineStr">
        <is>
          <t>ต่ำ</t>
        </is>
      </c>
      <c r="N174" s="46" t="n">
        <v>1</v>
      </c>
      <c r="O174" s="46" t="inlineStr">
        <is>
          <t>—</t>
        </is>
      </c>
      <c r="P174" s="46" t="n"/>
      <c r="Q174" s="46" t="n"/>
      <c r="R174" s="46" t="n"/>
      <c r="S174" s="46" t="n"/>
    </row>
    <row r="175" ht="15" customHeight="1">
      <c r="A175" s="46" t="inlineStr">
        <is>
          <t>PL799</t>
        </is>
      </c>
      <c r="B175" s="46" t="inlineStr">
        <is>
          <t>2026-04</t>
        </is>
      </c>
      <c r="C175" s="47" t="inlineStr">
        <is>
          <t>เมธาภาวัต</t>
        </is>
      </c>
      <c r="D175" s="46" t="inlineStr">
        <is>
          <t>B2B อื่นๆ</t>
        </is>
      </c>
      <c r="E175" s="46" t="inlineStr">
        <is>
          <t>LKT. 2026-04-PL799</t>
        </is>
      </c>
      <c r="F175" s="46" t="inlineStr">
        <is>
          <t>6 เมษายน 2026</t>
        </is>
      </c>
      <c r="G175" s="46" t="inlineStr">
        <is>
          <t>High Mast</t>
        </is>
      </c>
      <c r="H175" s="48" t="inlineStr">
        <is>
          <t>High mast Pole 25 M วงแหวน 8 โคม เหล็ก 6.0,4.5 มม.</t>
        </is>
      </c>
      <c r="I175" s="49" t="n">
        <v>269794</v>
      </c>
      <c r="J175" s="49" t="n">
        <v>18885.58</v>
      </c>
      <c r="K175" s="49" t="n">
        <v>288679.58</v>
      </c>
      <c r="L175" s="46" t="inlineStr">
        <is>
          <t>⚪ รอผล</t>
        </is>
      </c>
      <c r="M175" s="46" t="inlineStr">
        <is>
          <t>ต่ำ</t>
        </is>
      </c>
      <c r="N175" s="46" t="n">
        <v>1</v>
      </c>
      <c r="O175" s="46" t="inlineStr">
        <is>
          <t>—</t>
        </is>
      </c>
      <c r="P175" s="46" t="n"/>
      <c r="Q175" s="46" t="n"/>
      <c r="R175" s="46" t="n"/>
      <c r="S175" s="46" t="n"/>
    </row>
    <row r="176" ht="15" customHeight="1">
      <c r="A176" s="38" t="inlineStr">
        <is>
          <t>PL800</t>
        </is>
      </c>
      <c r="B176" s="38" t="inlineStr">
        <is>
          <t>2026-04</t>
        </is>
      </c>
      <c r="C176" s="39" t="inlineStr">
        <is>
          <t>T.K Electric เสา9 เมตร</t>
        </is>
      </c>
      <c r="D176" s="38" t="inlineStr">
        <is>
          <t>B2B อื่นๆ</t>
        </is>
      </c>
      <c r="E176" s="38" t="inlineStr">
        <is>
          <t>LKT. 2026-03 -PL800</t>
        </is>
      </c>
      <c r="F176" s="38" t="inlineStr">
        <is>
          <t>2 เมษายน 2026</t>
        </is>
      </c>
      <c r="G176" s="38" t="inlineStr">
        <is>
          <t>เสาไฟถนน</t>
        </is>
      </c>
      <c r="H176" s="40" t="inlineStr">
        <is>
          <t>Pole With Bracket 9M-T4-TR</t>
        </is>
      </c>
      <c r="I176" s="41" t="n">
        <v>463078</v>
      </c>
      <c r="J176" s="41" t="n">
        <v>32415.46</v>
      </c>
      <c r="K176" s="41" t="n">
        <v>495493.46</v>
      </c>
      <c r="L176" s="38" t="inlineStr">
        <is>
          <t>📋 ติดตาม</t>
        </is>
      </c>
      <c r="M176" s="38" t="inlineStr">
        <is>
          <t>กลาง</t>
        </is>
      </c>
      <c r="N176" s="38" t="n">
        <v>1</v>
      </c>
      <c r="O176" s="38" t="inlineStr">
        <is>
          <t>—</t>
        </is>
      </c>
      <c r="P176" s="38" t="n"/>
      <c r="Q176" s="38" t="n"/>
      <c r="R176" s="38" t="n"/>
      <c r="S176" s="38" t="n"/>
    </row>
    <row r="177" ht="15" customHeight="1">
      <c r="A177" s="38" t="inlineStr">
        <is>
          <t>PL801</t>
        </is>
      </c>
      <c r="B177" s="38" t="inlineStr">
        <is>
          <t>2026-04</t>
        </is>
      </c>
      <c r="C177" s="39" t="inlineStr">
        <is>
          <t>บ. เอฟดี</t>
        </is>
      </c>
      <c r="D177" s="38" t="inlineStr">
        <is>
          <t>B2B อื่นๆ</t>
        </is>
      </c>
      <c r="E177" s="38" t="inlineStr">
        <is>
          <t>LKT. 2026-01 -PL791</t>
        </is>
      </c>
      <c r="F177" s="38" t="inlineStr">
        <is>
          <t>1 เมษายน 2026</t>
        </is>
      </c>
      <c r="G177" s="38" t="inlineStr">
        <is>
          <t>LED Floodlight</t>
        </is>
      </c>
      <c r="H177" s="40" t="inlineStr">
        <is>
          <t>BTFL-ZC03-400W/LED FLOODLIGHT 400W/6500K</t>
        </is>
      </c>
      <c r="I177" s="41" t="n">
        <v>890085</v>
      </c>
      <c r="J177" s="41" t="n">
        <v>62305.95</v>
      </c>
      <c r="K177" s="41" t="n">
        <v>952390.95</v>
      </c>
      <c r="L177" s="38" t="inlineStr">
        <is>
          <t>📋 ติดตาม</t>
        </is>
      </c>
      <c r="M177" s="38" t="inlineStr">
        <is>
          <t>กลาง</t>
        </is>
      </c>
      <c r="N177" s="38" t="n">
        <v>1</v>
      </c>
      <c r="O177" s="38" t="inlineStr">
        <is>
          <t>—</t>
        </is>
      </c>
      <c r="P177" s="38" t="n"/>
      <c r="Q177" s="38" t="n"/>
      <c r="R177" s="38" t="n"/>
      <c r="S177" s="38" t="n"/>
    </row>
    <row r="178" ht="15" customHeight="1">
      <c r="A178" s="38" t="inlineStr">
        <is>
          <t>PL803</t>
        </is>
      </c>
      <c r="B178" s="38" t="inlineStr">
        <is>
          <t>2026-04</t>
        </is>
      </c>
      <c r="C178" s="39" t="inlineStr">
        <is>
          <t>บ.  เด็คก้า High mast 15 M 6 โค</t>
        </is>
      </c>
      <c r="D178" s="38" t="inlineStr">
        <is>
          <t>B2B อื่นๆ</t>
        </is>
      </c>
      <c r="E178" s="38" t="inlineStr">
        <is>
          <t>LKT. 2026-04 -PL803</t>
        </is>
      </c>
      <c r="F178" s="38" t="inlineStr">
        <is>
          <t>6 เมษายน 2026</t>
        </is>
      </c>
      <c r="G178" s="38" t="inlineStr">
        <is>
          <t>High Mast</t>
        </is>
      </c>
      <c r="H178" s="40" t="inlineStr">
        <is>
          <t>High mast Pole 15 M วงแหวน 6 โคม เหล็ก 3.2, 2.5 มม.</t>
        </is>
      </c>
      <c r="I178" s="41" t="n">
        <v>359072</v>
      </c>
      <c r="J178" s="41" t="n">
        <v>25135.04</v>
      </c>
      <c r="K178" s="41" t="n">
        <v>384207.04</v>
      </c>
      <c r="L178" s="38" t="inlineStr">
        <is>
          <t>📋 ติดตาม</t>
        </is>
      </c>
      <c r="M178" s="38" t="inlineStr">
        <is>
          <t>กลาง</t>
        </is>
      </c>
      <c r="N178" s="38" t="n">
        <v>1</v>
      </c>
      <c r="O178" s="38" t="inlineStr">
        <is>
          <t>—</t>
        </is>
      </c>
      <c r="P178" s="38" t="n"/>
      <c r="Q178" s="38" t="n"/>
      <c r="R178" s="38" t="n"/>
      <c r="S178" s="38" t="n"/>
    </row>
    <row r="179" ht="15" customHeight="1">
      <c r="A179" s="38" t="inlineStr">
        <is>
          <t>PL804</t>
        </is>
      </c>
      <c r="B179" s="38" t="inlineStr">
        <is>
          <t>2026-04</t>
        </is>
      </c>
      <c r="C179" s="39" t="inlineStr">
        <is>
          <t>อริยทรัพย์</t>
        </is>
      </c>
      <c r="D179" s="38" t="inlineStr">
        <is>
          <t>B2B อื่นๆ</t>
        </is>
      </c>
      <c r="E179" s="38" t="inlineStr">
        <is>
          <t>LKT. 2026-04 -PL802</t>
        </is>
      </c>
      <c r="F179" s="38" t="inlineStr">
        <is>
          <t>6 เมษายน 2026</t>
        </is>
      </c>
      <c r="G179" s="38" t="inlineStr">
        <is>
          <t>High Mast</t>
        </is>
      </c>
      <c r="H179" s="40" t="inlineStr">
        <is>
          <t>High mast Pole 20 M วงแหวน 8 โคม เหล็ก 4.5 มม.</t>
        </is>
      </c>
      <c r="I179" s="41" t="n">
        <v>301350</v>
      </c>
      <c r="J179" s="41" t="n">
        <v>21094.5</v>
      </c>
      <c r="K179" s="41" t="n">
        <v>322444.5</v>
      </c>
      <c r="L179" s="38" t="inlineStr">
        <is>
          <t>📋 ติดตาม</t>
        </is>
      </c>
      <c r="M179" s="38" t="inlineStr">
        <is>
          <t>กลาง</t>
        </is>
      </c>
      <c r="N179" s="38" t="n">
        <v>1</v>
      </c>
      <c r="O179" s="38" t="inlineStr">
        <is>
          <t>—</t>
        </is>
      </c>
      <c r="P179" s="38" t="n"/>
      <c r="Q179" s="38" t="n"/>
      <c r="R179" s="38" t="n"/>
      <c r="S179" s="38" t="n"/>
    </row>
    <row r="180" ht="15" customHeight="1">
      <c r="A180" s="38" t="inlineStr">
        <is>
          <t>PL805</t>
        </is>
      </c>
      <c r="B180" s="38" t="inlineStr">
        <is>
          <t>2026-04</t>
        </is>
      </c>
      <c r="C180" s="39" t="inlineStr">
        <is>
          <t>เบสท์แพ็ค คอนกรีต  เสา9 เมตร</t>
        </is>
      </c>
      <c r="D180" s="38" t="inlineStr">
        <is>
          <t>B2B อื่นๆ</t>
        </is>
      </c>
      <c r="E180" s="38" t="inlineStr">
        <is>
          <t>LKT. 2026-03 -PL805</t>
        </is>
      </c>
      <c r="F180" s="38" t="inlineStr">
        <is>
          <t>6 เมษายน 2026</t>
        </is>
      </c>
      <c r="G180" s="38" t="inlineStr">
        <is>
          <t>เสาไฟถนน</t>
        </is>
      </c>
      <c r="H180" s="40" t="inlineStr">
        <is>
          <t>Pole With Bracket 9M-T4-TR</t>
        </is>
      </c>
      <c r="I180" s="41" t="n">
        <v>396838.75</v>
      </c>
      <c r="J180" s="41" t="n">
        <v>27778.71</v>
      </c>
      <c r="K180" s="41" t="n">
        <v>424617.46</v>
      </c>
      <c r="L180" s="38" t="inlineStr">
        <is>
          <t>📋 ติดตาม</t>
        </is>
      </c>
      <c r="M180" s="38" t="inlineStr">
        <is>
          <t>กลาง</t>
        </is>
      </c>
      <c r="N180" s="38" t="n">
        <v>1</v>
      </c>
      <c r="O180" s="38" t="inlineStr">
        <is>
          <t>—</t>
        </is>
      </c>
      <c r="P180" s="38" t="n"/>
      <c r="Q180" s="38" t="n"/>
      <c r="R180" s="38" t="n"/>
      <c r="S180" s="38" t="n"/>
    </row>
    <row r="181" ht="15" customHeight="1">
      <c r="A181" s="38" t="inlineStr">
        <is>
          <t>PL806</t>
        </is>
      </c>
      <c r="B181" s="38" t="inlineStr">
        <is>
          <t>2026-04</t>
        </is>
      </c>
      <c r="C181" s="39" t="inlineStr">
        <is>
          <t>วิหลี</t>
        </is>
      </c>
      <c r="D181" s="38" t="inlineStr">
        <is>
          <t>B2B อื่นๆ</t>
        </is>
      </c>
      <c r="E181" s="38" t="inlineStr">
        <is>
          <t>LKT. 2026-04 -PL806</t>
        </is>
      </c>
      <c r="F181" s="38" t="inlineStr">
        <is>
          <t>6 เมษายน 2026</t>
        </is>
      </c>
      <c r="G181" s="38" t="inlineStr">
        <is>
          <t>เสาไฟถนน</t>
        </is>
      </c>
      <c r="H181" s="40" t="inlineStr">
        <is>
          <t>Pole With Bracket 6M-T4-TR</t>
        </is>
      </c>
      <c r="I181" s="41" t="n">
        <v>631747.2</v>
      </c>
      <c r="J181" s="41" t="n">
        <v>44222.3</v>
      </c>
      <c r="K181" s="41" t="n">
        <v>675969.5</v>
      </c>
      <c r="L181" s="38" t="inlineStr">
        <is>
          <t>📋 ติดตาม</t>
        </is>
      </c>
      <c r="M181" s="38" t="inlineStr">
        <is>
          <t>กลาง</t>
        </is>
      </c>
      <c r="N181" s="38" t="n">
        <v>1</v>
      </c>
      <c r="O181" s="38" t="inlineStr">
        <is>
          <t>—</t>
        </is>
      </c>
      <c r="P181" s="38" t="n"/>
      <c r="Q181" s="38" t="n"/>
      <c r="R181" s="38" t="n"/>
      <c r="S181" s="38" t="n"/>
    </row>
    <row r="182" ht="15" customHeight="1">
      <c r="A182" s="46" t="inlineStr">
        <is>
          <t>PL807</t>
        </is>
      </c>
      <c r="B182" s="46" t="inlineStr">
        <is>
          <t>2026-04</t>
        </is>
      </c>
      <c r="C182" s="47" t="inlineStr">
        <is>
          <t>บ.เติมเนเจอร์</t>
        </is>
      </c>
      <c r="D182" s="46" t="inlineStr">
        <is>
          <t>B2B อื่นๆ</t>
        </is>
      </c>
      <c r="E182" s="46" t="inlineStr">
        <is>
          <t>LKT. 2026-04 -PL807</t>
        </is>
      </c>
      <c r="F182" s="46" t="inlineStr">
        <is>
          <t>1 เมษายน 2026</t>
        </is>
      </c>
      <c r="G182" s="46" t="inlineStr">
        <is>
          <t>เสาไฟถนน</t>
        </is>
      </c>
      <c r="H182" s="48" t="inlineStr">
        <is>
          <t>Pole With Bracket 4M-T3.2-TR</t>
        </is>
      </c>
      <c r="I182" s="49" t="n">
        <v>0</v>
      </c>
      <c r="J182" s="49" t="n">
        <v>0</v>
      </c>
      <c r="K182" s="49" t="n">
        <v>0</v>
      </c>
      <c r="L182" s="46" t="inlineStr">
        <is>
          <t>⚪ รอผล</t>
        </is>
      </c>
      <c r="M182" s="46" t="inlineStr">
        <is>
          <t>ต่ำ</t>
        </is>
      </c>
      <c r="N182" s="46" t="n">
        <v>1</v>
      </c>
      <c r="O182" s="46" t="inlineStr">
        <is>
          <t>—</t>
        </is>
      </c>
      <c r="P182" s="46" t="n"/>
      <c r="Q182" s="46" t="n"/>
      <c r="R182" s="46" t="n"/>
      <c r="S182" s="46" t="n"/>
    </row>
    <row r="183" ht="15" customHeight="1">
      <c r="A183" s="46" t="inlineStr">
        <is>
          <t>PL808</t>
        </is>
      </c>
      <c r="B183" s="46" t="inlineStr">
        <is>
          <t>2026-04</t>
        </is>
      </c>
      <c r="C183" s="47" t="inlineStr">
        <is>
          <t>คุณนัท</t>
        </is>
      </c>
      <c r="D183" s="46" t="inlineStr">
        <is>
          <t>B2C บุคคล</t>
        </is>
      </c>
      <c r="E183" s="46" t="inlineStr">
        <is>
          <t>LKT. 2026-04 -PL808</t>
        </is>
      </c>
      <c r="F183" s="46" t="inlineStr">
        <is>
          <t>7 เมษายน 2026</t>
        </is>
      </c>
      <c r="G183" s="46" t="inlineStr">
        <is>
          <t>เสาไฟถนน</t>
        </is>
      </c>
      <c r="H183" s="48" t="inlineStr">
        <is>
          <t>Pole With Bracket 6M-T4-TR</t>
        </is>
      </c>
      <c r="I183" s="49" t="n">
        <v>6050</v>
      </c>
      <c r="J183" s="49" t="n">
        <v>423.5</v>
      </c>
      <c r="K183" s="49" t="n">
        <v>6473.5</v>
      </c>
      <c r="L183" s="46" t="inlineStr">
        <is>
          <t>⚪ รอผล</t>
        </is>
      </c>
      <c r="M183" s="46" t="inlineStr">
        <is>
          <t>ต่ำ</t>
        </is>
      </c>
      <c r="N183" s="46" t="n">
        <v>1</v>
      </c>
      <c r="O183" s="46" t="inlineStr">
        <is>
          <t>—</t>
        </is>
      </c>
      <c r="P183" s="46" t="n"/>
      <c r="Q183" s="46" t="n"/>
      <c r="R183" s="46" t="n"/>
      <c r="S183" s="46" t="n"/>
    </row>
    <row r="184" ht="15" customHeight="1">
      <c r="A184" s="46" t="inlineStr">
        <is>
          <t>PL809</t>
        </is>
      </c>
      <c r="B184" s="46" t="inlineStr">
        <is>
          <t>2026-04</t>
        </is>
      </c>
      <c r="C184" s="47" t="inlineStr">
        <is>
          <t>บริษัท เบสท์-แพค คอนกรีต จำกัด -Update  ราคาไฮแมส</t>
        </is>
      </c>
      <c r="D184" s="46" t="inlineStr">
        <is>
          <t>B2B บริษัท</t>
        </is>
      </c>
      <c r="E184" s="46" t="inlineStr">
        <is>
          <t>LKT. 2026-04 -PL809</t>
        </is>
      </c>
      <c r="F184" s="46" t="inlineStr">
        <is>
          <t>6 เมษายน 2569</t>
        </is>
      </c>
      <c r="G184" s="46" t="inlineStr">
        <is>
          <t>อื่นๆ</t>
        </is>
      </c>
      <c r="H184" s="48" t="inlineStr">
        <is>
          <t>อื่นๆ</t>
        </is>
      </c>
      <c r="I184" s="49" t="n">
        <v>212850</v>
      </c>
      <c r="J184" s="49" t="n">
        <v>14899.5</v>
      </c>
      <c r="K184" s="49" t="n">
        <v>227749.5</v>
      </c>
      <c r="L184" s="46" t="inlineStr">
        <is>
          <t>⚪ รอผล</t>
        </is>
      </c>
      <c r="M184" s="46" t="inlineStr">
        <is>
          <t>ต่ำ</t>
        </is>
      </c>
      <c r="N184" s="46" t="n">
        <v>0</v>
      </c>
      <c r="O184" s="46" t="inlineStr">
        <is>
          <t>—</t>
        </is>
      </c>
      <c r="P184" s="46" t="n"/>
      <c r="Q184" s="46" t="n"/>
      <c r="R184" s="46" t="n"/>
      <c r="S184" s="46" t="n"/>
    </row>
    <row r="185" ht="15" customHeight="1">
      <c r="A185" s="46" t="inlineStr">
        <is>
          <t>PL810</t>
        </is>
      </c>
      <c r="B185" s="46" t="inlineStr">
        <is>
          <t>2026-04</t>
        </is>
      </c>
      <c r="C185" s="47" t="inlineStr">
        <is>
          <t>คุณจัสมิน</t>
        </is>
      </c>
      <c r="D185" s="46" t="inlineStr">
        <is>
          <t>B2C บุคคล</t>
        </is>
      </c>
      <c r="E185" s="46" t="inlineStr">
        <is>
          <t>LKT. 2026-01 -PL787</t>
        </is>
      </c>
      <c r="F185" s="46" t="n"/>
      <c r="G185" s="46" t="inlineStr">
        <is>
          <t>Guard Rail / การ์ดเรล</t>
        </is>
      </c>
      <c r="H185" s="48" t="inlineStr">
        <is>
          <t>เสาการดเรล OD100 H2.0M (เชื่อมเพลท)</t>
        </is>
      </c>
      <c r="I185" s="49" t="n">
        <v>4688.32</v>
      </c>
      <c r="J185" s="49" t="n">
        <v>328.18</v>
      </c>
      <c r="K185" s="49" t="n">
        <v>5016.5</v>
      </c>
      <c r="L185" s="46" t="inlineStr">
        <is>
          <t>⚪ รอผล</t>
        </is>
      </c>
      <c r="M185" s="46" t="inlineStr">
        <is>
          <t>ต่ำ</t>
        </is>
      </c>
      <c r="N185" s="46" t="n">
        <v>1</v>
      </c>
      <c r="O185" s="46" t="inlineStr">
        <is>
          <t>—</t>
        </is>
      </c>
      <c r="P185" s="46" t="n"/>
      <c r="Q185" s="46" t="n"/>
      <c r="R185" s="46" t="n"/>
      <c r="S185" s="46" t="n"/>
    </row>
    <row r="186" ht="15" customHeight="1">
      <c r="A186" s="38" t="inlineStr">
        <is>
          <t>PL811</t>
        </is>
      </c>
      <c r="B186" s="38" t="inlineStr">
        <is>
          <t>2026-04</t>
        </is>
      </c>
      <c r="C186" s="39" t="inlineStr">
        <is>
          <t>ZETA-SI / บริษัท ซีซีทีวี (ประเทศไทย) จำกัด</t>
        </is>
      </c>
      <c r="D186" s="38" t="inlineStr">
        <is>
          <t>B2B บริษัท</t>
        </is>
      </c>
      <c r="E186" s="38" t="inlineStr">
        <is>
          <t>LKT. 2026-04 -PL811</t>
        </is>
      </c>
      <c r="F186" s="38" t="inlineStr">
        <is>
          <t>6 เมษายน 2026</t>
        </is>
      </c>
      <c r="G186" s="38" t="inlineStr">
        <is>
          <t>อื่นๆ</t>
        </is>
      </c>
      <c r="H186" s="40" t="inlineStr">
        <is>
          <t>อื่นๆ</t>
        </is>
      </c>
      <c r="I186" s="41" t="n">
        <v>838750</v>
      </c>
      <c r="J186" s="41" t="n">
        <v>58712.5</v>
      </c>
      <c r="K186" s="41" t="n">
        <v>897462.5</v>
      </c>
      <c r="L186" s="38" t="inlineStr">
        <is>
          <t>📋 ติดตาม</t>
        </is>
      </c>
      <c r="M186" s="38" t="inlineStr">
        <is>
          <t>กลาง</t>
        </is>
      </c>
      <c r="N186" s="38" t="n">
        <v>0</v>
      </c>
      <c r="O186" s="38" t="inlineStr">
        <is>
          <t>ZETA-iOT</t>
        </is>
      </c>
      <c r="P186" s="38" t="n"/>
      <c r="Q186" s="38" t="n"/>
      <c r="R186" s="38" t="n"/>
      <c r="S186" s="38" t="n"/>
    </row>
    <row r="187" ht="15" customHeight="1">
      <c r="A187" s="46" t="inlineStr">
        <is>
          <t>PL812</t>
        </is>
      </c>
      <c r="B187" s="46" t="inlineStr">
        <is>
          <t>2026-04</t>
        </is>
      </c>
      <c r="C187" s="47" t="inlineStr">
        <is>
          <t>บ.เอฟดี</t>
        </is>
      </c>
      <c r="D187" s="46" t="inlineStr">
        <is>
          <t>B2B อื่นๆ</t>
        </is>
      </c>
      <c r="E187" s="46" t="inlineStr">
        <is>
          <t>LKT. 2026-04 -PL812</t>
        </is>
      </c>
      <c r="F187" s="46" t="inlineStr">
        <is>
          <t>7 เมษายน 2026</t>
        </is>
      </c>
      <c r="G187" s="46" t="inlineStr">
        <is>
          <t>เสาไฟถนน</t>
        </is>
      </c>
      <c r="H187" s="48" t="inlineStr">
        <is>
          <t>Pole With Bracket 6M-T4-TR</t>
        </is>
      </c>
      <c r="I187" s="49" t="n">
        <v>216090</v>
      </c>
      <c r="J187" s="49" t="n">
        <v>15126.3</v>
      </c>
      <c r="K187" s="49" t="n">
        <v>231216.3</v>
      </c>
      <c r="L187" s="46" t="inlineStr">
        <is>
          <t>⚪ รอผล</t>
        </is>
      </c>
      <c r="M187" s="46" t="inlineStr">
        <is>
          <t>ต่ำ</t>
        </is>
      </c>
      <c r="N187" s="46" t="n">
        <v>1</v>
      </c>
      <c r="O187" s="46" t="inlineStr">
        <is>
          <t>—</t>
        </is>
      </c>
      <c r="P187" s="46" t="n"/>
      <c r="Q187" s="46" t="n"/>
      <c r="R187" s="46" t="n"/>
      <c r="S187" s="46" t="n"/>
    </row>
    <row r="188" ht="15" customHeight="1">
      <c r="A188" s="38" t="inlineStr">
        <is>
          <t>PL814</t>
        </is>
      </c>
      <c r="B188" s="38" t="inlineStr">
        <is>
          <t>2026-04</t>
        </is>
      </c>
      <c r="C188" s="39" t="inlineStr">
        <is>
          <t>บางน้อย</t>
        </is>
      </c>
      <c r="D188" s="38" t="inlineStr">
        <is>
          <t>B2B อื่นๆ</t>
        </is>
      </c>
      <c r="E188" s="38" t="inlineStr">
        <is>
          <t>LKT. 2026-04 -PL814</t>
        </is>
      </c>
      <c r="F188" s="38" t="inlineStr">
        <is>
          <t>10 เมษายน 2026</t>
        </is>
      </c>
      <c r="G188" s="38" t="inlineStr">
        <is>
          <t>เสาไฟถนน</t>
        </is>
      </c>
      <c r="H188" s="40" t="inlineStr">
        <is>
          <t>Pole With Bracket 9M-T4-TR</t>
        </is>
      </c>
      <c r="I188" s="41" t="n">
        <v>585432.4</v>
      </c>
      <c r="J188" s="41" t="n">
        <v>40980.27</v>
      </c>
      <c r="K188" s="41" t="n">
        <v>626412.67</v>
      </c>
      <c r="L188" s="38" t="inlineStr">
        <is>
          <t>📋 ติดตาม</t>
        </is>
      </c>
      <c r="M188" s="38" t="inlineStr">
        <is>
          <t>กลาง</t>
        </is>
      </c>
      <c r="N188" s="38" t="n">
        <v>1</v>
      </c>
      <c r="O188" s="38" t="inlineStr">
        <is>
          <t>—</t>
        </is>
      </c>
      <c r="P188" s="38" t="n"/>
      <c r="Q188" s="38" t="n"/>
      <c r="R188" s="38" t="n"/>
      <c r="S188" s="38" t="n"/>
    </row>
    <row r="189" ht="15" customHeight="1">
      <c r="A189" s="46" t="inlineStr">
        <is>
          <t>PL815</t>
        </is>
      </c>
      <c r="B189" s="46" t="inlineStr">
        <is>
          <t>2026-04</t>
        </is>
      </c>
      <c r="C189" s="47" t="inlineStr">
        <is>
          <t>สราญใจ พริ้ตติ้ง</t>
        </is>
      </c>
      <c r="D189" s="46" t="inlineStr">
        <is>
          <t>B2B อื่นๆ</t>
        </is>
      </c>
      <c r="E189" s="46" t="inlineStr">
        <is>
          <t>LKT. 2026-04 -PL815</t>
        </is>
      </c>
      <c r="F189" s="46" t="inlineStr">
        <is>
          <t>10 เมษายน 2026</t>
        </is>
      </c>
      <c r="G189" s="46" t="inlineStr">
        <is>
          <t>เสาไฟถนน</t>
        </is>
      </c>
      <c r="H189" s="48" t="inlineStr">
        <is>
          <t>เสาตัว T สูง 10M+Arm Bracket 2 โคม H0.5M L1.2M</t>
        </is>
      </c>
      <c r="I189" s="49" t="n">
        <v>135004.8</v>
      </c>
      <c r="J189" s="49" t="n">
        <v>9450.34</v>
      </c>
      <c r="K189" s="49" t="n">
        <v>144455.14</v>
      </c>
      <c r="L189" s="46" t="inlineStr">
        <is>
          <t>⚪ รอผล</t>
        </is>
      </c>
      <c r="M189" s="46" t="inlineStr">
        <is>
          <t>ต่ำ</t>
        </is>
      </c>
      <c r="N189" s="46" t="n">
        <v>1</v>
      </c>
      <c r="O189" s="46" t="inlineStr">
        <is>
          <t>—</t>
        </is>
      </c>
      <c r="P189" s="46" t="n"/>
      <c r="Q189" s="46" t="n"/>
      <c r="R189" s="46" t="n"/>
      <c r="S189" s="46" t="n"/>
    </row>
    <row r="190" ht="15" customHeight="1">
      <c r="A190" s="46" t="inlineStr">
        <is>
          <t>PL816</t>
        </is>
      </c>
      <c r="B190" s="46" t="inlineStr">
        <is>
          <t>2026-04</t>
        </is>
      </c>
      <c r="C190" s="47" t="inlineStr">
        <is>
          <t>ZETA-9 Cloud (Controller)</t>
        </is>
      </c>
      <c r="D190" s="46" t="inlineStr">
        <is>
          <t>B2B อื่นๆ</t>
        </is>
      </c>
      <c r="E190" s="46" t="inlineStr">
        <is>
          <t>LKT. 2026-04 -PL816</t>
        </is>
      </c>
      <c r="F190" s="46" t="inlineStr">
        <is>
          <t>16 เมษายน 2026</t>
        </is>
      </c>
      <c r="G190" s="46" t="inlineStr">
        <is>
          <t>อื่นๆ</t>
        </is>
      </c>
      <c r="H190" s="48" t="inlineStr">
        <is>
          <t>อื่นๆ</t>
        </is>
      </c>
      <c r="I190" s="49" t="n">
        <v>3750</v>
      </c>
      <c r="J190" s="49" t="n">
        <v>262.5</v>
      </c>
      <c r="K190" s="49" t="n">
        <v>4012.5</v>
      </c>
      <c r="L190" s="46" t="inlineStr">
        <is>
          <t>⚪ รอผล</t>
        </is>
      </c>
      <c r="M190" s="46" t="inlineStr">
        <is>
          <t>ต่ำ</t>
        </is>
      </c>
      <c r="N190" s="46" t="n">
        <v>0</v>
      </c>
      <c r="O190" s="46" t="inlineStr">
        <is>
          <t>ZETA-iOT</t>
        </is>
      </c>
      <c r="P190" s="46" t="n"/>
      <c r="Q190" s="46" t="n"/>
      <c r="R190" s="46" t="n"/>
      <c r="S190" s="46" t="n"/>
    </row>
    <row r="191" ht="15" customHeight="1">
      <c r="A191" s="38" t="inlineStr">
        <is>
          <t>PL817</t>
        </is>
      </c>
      <c r="B191" s="38" t="inlineStr">
        <is>
          <t>2026-04</t>
        </is>
      </c>
      <c r="C191" s="39" t="inlineStr">
        <is>
          <t>SI / บริษัท ซีซีทีวี (ประเทศไทย) จำกัด</t>
        </is>
      </c>
      <c r="D191" s="38" t="inlineStr">
        <is>
          <t>B2B บริษัท</t>
        </is>
      </c>
      <c r="E191" s="38" t="inlineStr">
        <is>
          <t>LKT. 2026-04 -PL811</t>
        </is>
      </c>
      <c r="F191" s="38" t="inlineStr">
        <is>
          <t>6 เมษายน 2026</t>
        </is>
      </c>
      <c r="G191" s="38" t="inlineStr">
        <is>
          <t>อื่นๆ</t>
        </is>
      </c>
      <c r="H191" s="40" t="inlineStr">
        <is>
          <t>อื่นๆ</t>
        </is>
      </c>
      <c r="I191" s="41" t="n">
        <v>838750</v>
      </c>
      <c r="J191" s="41" t="n">
        <v>58712.5</v>
      </c>
      <c r="K191" s="41" t="n">
        <v>897462.5</v>
      </c>
      <c r="L191" s="38" t="inlineStr">
        <is>
          <t>📋 ติดตาม</t>
        </is>
      </c>
      <c r="M191" s="38" t="inlineStr">
        <is>
          <t>กลาง</t>
        </is>
      </c>
      <c r="N191" s="38" t="n">
        <v>0</v>
      </c>
      <c r="O191" s="38" t="inlineStr">
        <is>
          <t>ZETA-iOT</t>
        </is>
      </c>
      <c r="P191" s="38" t="n"/>
      <c r="Q191" s="38" t="n"/>
      <c r="R191" s="38" t="n"/>
      <c r="S191" s="38" t="n"/>
    </row>
    <row r="192" ht="15" customHeight="1">
      <c r="A192" s="46" t="inlineStr">
        <is>
          <t>PL818</t>
        </is>
      </c>
      <c r="B192" s="46" t="inlineStr">
        <is>
          <t>2026-04</t>
        </is>
      </c>
      <c r="C192" s="47" t="inlineStr">
        <is>
          <t>สามช้าง</t>
        </is>
      </c>
      <c r="D192" s="46" t="inlineStr">
        <is>
          <t>B2B อื่นๆ</t>
        </is>
      </c>
      <c r="E192" s="46" t="inlineStr">
        <is>
          <t>LKT. 2026-04 -PL818</t>
        </is>
      </c>
      <c r="F192" s="46" t="inlineStr">
        <is>
          <t>16 เมษายน 2026</t>
        </is>
      </c>
      <c r="G192" s="46" t="inlineStr">
        <is>
          <t>อื่นๆ</t>
        </is>
      </c>
      <c r="H192" s="48" t="inlineStr">
        <is>
          <t>โคมไฟถนนหลังเตา E40 HPS 250W อุปกรณ Philips</t>
        </is>
      </c>
      <c r="I192" s="49" t="n">
        <v>63240</v>
      </c>
      <c r="J192" s="49" t="n">
        <v>4426.8</v>
      </c>
      <c r="K192" s="49" t="n">
        <v>67666.8</v>
      </c>
      <c r="L192" s="46" t="inlineStr">
        <is>
          <t>⚪ รอผล</t>
        </is>
      </c>
      <c r="M192" s="46" t="inlineStr">
        <is>
          <t>ต่ำ</t>
        </is>
      </c>
      <c r="N192" s="46" t="n">
        <v>1</v>
      </c>
      <c r="O192" s="46" t="inlineStr">
        <is>
          <t>—</t>
        </is>
      </c>
      <c r="P192" s="46" t="n"/>
      <c r="Q192" s="46" t="n"/>
      <c r="R192" s="46" t="n"/>
      <c r="S192" s="46" t="n"/>
    </row>
    <row r="193" ht="15" customHeight="1">
      <c r="A193" s="38" t="inlineStr">
        <is>
          <t>PL819</t>
        </is>
      </c>
      <c r="B193" s="38" t="inlineStr">
        <is>
          <t>2026-04</t>
        </is>
      </c>
      <c r="C193" s="39" t="inlineStr">
        <is>
          <t>อริ</t>
        </is>
      </c>
      <c r="D193" s="38" t="inlineStr">
        <is>
          <t>B2B อื่นๆ</t>
        </is>
      </c>
      <c r="E193" s="38" t="inlineStr">
        <is>
          <t>LKT. 2026-04 -PL819</t>
        </is>
      </c>
      <c r="F193" s="38" t="inlineStr">
        <is>
          <t>17 เมษายน 2026</t>
        </is>
      </c>
      <c r="G193" s="38" t="inlineStr">
        <is>
          <t>LED Streetlight</t>
        </is>
      </c>
      <c r="H193" s="40" t="inlineStr">
        <is>
          <t>กิ่ง (ทอกลมหนา 2.3mm.) ขนาด 2x2.4 ม. R300 ตัด 2 ทาง</t>
        </is>
      </c>
      <c r="I193" s="41" t="n">
        <v>711088</v>
      </c>
      <c r="J193" s="41" t="n">
        <v>49776.16</v>
      </c>
      <c r="K193" s="41" t="n">
        <v>760864.16</v>
      </c>
      <c r="L193" s="38" t="inlineStr">
        <is>
          <t>📋 ติดตาม</t>
        </is>
      </c>
      <c r="M193" s="38" t="inlineStr">
        <is>
          <t>กลาง</t>
        </is>
      </c>
      <c r="N193" s="38" t="n">
        <v>1</v>
      </c>
      <c r="O193" s="38" t="inlineStr">
        <is>
          <t>—</t>
        </is>
      </c>
      <c r="P193" s="38" t="n"/>
      <c r="Q193" s="38" t="n"/>
      <c r="R193" s="38" t="n"/>
      <c r="S193" s="38" t="n"/>
    </row>
    <row r="194" ht="15" customHeight="1">
      <c r="A194" s="46" t="inlineStr">
        <is>
          <t>PL820</t>
        </is>
      </c>
      <c r="B194" s="46" t="inlineStr">
        <is>
          <t>2026-04</t>
        </is>
      </c>
      <c r="C194" s="47" t="inlineStr">
        <is>
          <t>สยามมัลติคอน</t>
        </is>
      </c>
      <c r="D194" s="46" t="inlineStr">
        <is>
          <t>B2B อื่นๆ</t>
        </is>
      </c>
      <c r="E194" s="46" t="inlineStr">
        <is>
          <t>LKT. 2026-04 -PL820</t>
        </is>
      </c>
      <c r="F194" s="46" t="inlineStr">
        <is>
          <t>20 เมษายน 2026</t>
        </is>
      </c>
      <c r="G194" s="46" t="inlineStr">
        <is>
          <t>เสาไฟถนน</t>
        </is>
      </c>
      <c r="H194" s="48" t="inlineStr">
        <is>
          <t>Pole With Bracket 8M-T4-TR</t>
        </is>
      </c>
      <c r="I194" s="49" t="n">
        <v>64386</v>
      </c>
      <c r="J194" s="49" t="n">
        <v>4507.02</v>
      </c>
      <c r="K194" s="49" t="n">
        <v>68893.02</v>
      </c>
      <c r="L194" s="46" t="inlineStr">
        <is>
          <t>⚪ รอผล</t>
        </is>
      </c>
      <c r="M194" s="46" t="inlineStr">
        <is>
          <t>ต่ำ</t>
        </is>
      </c>
      <c r="N194" s="46" t="n">
        <v>1</v>
      </c>
      <c r="O194" s="46" t="inlineStr">
        <is>
          <t>—</t>
        </is>
      </c>
      <c r="P194" s="46" t="n"/>
      <c r="Q194" s="46" t="n"/>
      <c r="R194" s="46" t="n"/>
      <c r="S194" s="46" t="n"/>
    </row>
    <row r="195" ht="15" customHeight="1">
      <c r="A195" s="46" t="inlineStr">
        <is>
          <t>PL821</t>
        </is>
      </c>
      <c r="B195" s="46" t="inlineStr">
        <is>
          <t>2026-04</t>
        </is>
      </c>
      <c r="C195" s="47" t="inlineStr">
        <is>
          <t>บริษัท แลนด์แอนด์ซี คอนเน็ก จำกัด</t>
        </is>
      </c>
      <c r="D195" s="46" t="inlineStr">
        <is>
          <t>B2B บริษัท</t>
        </is>
      </c>
      <c r="E195" s="46" t="inlineStr">
        <is>
          <t>LKT. 2026-04 -PL821</t>
        </is>
      </c>
      <c r="F195" s="46" t="inlineStr">
        <is>
          <t>17 เมษายน 2026</t>
        </is>
      </c>
      <c r="G195" s="46" t="inlineStr">
        <is>
          <t>เสาไฟถนน</t>
        </is>
      </c>
      <c r="H195" s="48" t="inlineStr">
        <is>
          <t>เสาตัว T สูง 10M +Support OD101.6 H0.5M 4t LED 4 โคม</t>
        </is>
      </c>
      <c r="I195" s="49" t="n">
        <v>55448.4</v>
      </c>
      <c r="J195" s="49" t="n">
        <v>3881.39</v>
      </c>
      <c r="K195" s="49" t="n">
        <v>59329.79</v>
      </c>
      <c r="L195" s="46" t="inlineStr">
        <is>
          <t>⚪ รอผล</t>
        </is>
      </c>
      <c r="M195" s="46" t="inlineStr">
        <is>
          <t>ต่ำ</t>
        </is>
      </c>
      <c r="N195" s="46" t="n">
        <v>1</v>
      </c>
      <c r="O195" s="46" t="inlineStr">
        <is>
          <t>—</t>
        </is>
      </c>
      <c r="P195" s="46" t="n"/>
      <c r="Q195" s="46" t="n"/>
      <c r="R195" s="46" t="n"/>
      <c r="S195" s="46" t="n"/>
    </row>
    <row r="196" ht="15" customHeight="1">
      <c r="A196" s="46" t="inlineStr">
        <is>
          <t>PL822</t>
        </is>
      </c>
      <c r="B196" s="46" t="inlineStr">
        <is>
          <t>2026-04</t>
        </is>
      </c>
      <c r="C196" s="47" t="inlineStr">
        <is>
          <t>บ.ควินตัส แอดวานซ์</t>
        </is>
      </c>
      <c r="D196" s="46" t="inlineStr">
        <is>
          <t>B2B อื่นๆ</t>
        </is>
      </c>
      <c r="E196" s="46" t="inlineStr">
        <is>
          <t>LKT. 2026-02 -PL772</t>
        </is>
      </c>
      <c r="F196" s="46" t="inlineStr">
        <is>
          <t>17 เมษายน 2026</t>
        </is>
      </c>
      <c r="G196" s="46" t="inlineStr">
        <is>
          <t>High Mast</t>
        </is>
      </c>
      <c r="H196" s="48" t="inlineStr">
        <is>
          <t>ชุดMotorขับวงแหวนขึ้นลง 3 เฟส</t>
        </is>
      </c>
      <c r="I196" s="49" t="n">
        <v>66240</v>
      </c>
      <c r="J196" s="49" t="n">
        <v>4636.8</v>
      </c>
      <c r="K196" s="49" t="n">
        <v>70876.8</v>
      </c>
      <c r="L196" s="46" t="inlineStr">
        <is>
          <t>⚪ รอผล</t>
        </is>
      </c>
      <c r="M196" s="46" t="inlineStr">
        <is>
          <t>ต่ำ</t>
        </is>
      </c>
      <c r="N196" s="46" t="n">
        <v>1</v>
      </c>
      <c r="O196" s="46" t="inlineStr">
        <is>
          <t>DOA</t>
        </is>
      </c>
      <c r="P196" s="46" t="n"/>
      <c r="Q196" s="46" t="n"/>
      <c r="R196" s="46" t="n"/>
      <c r="S196" s="46" t="n"/>
    </row>
    <row r="197" ht="15" customHeight="1">
      <c r="A197" s="46" t="inlineStr">
        <is>
          <t>PL823</t>
        </is>
      </c>
      <c r="B197" s="46" t="inlineStr">
        <is>
          <t>2026-04</t>
        </is>
      </c>
      <c r="C197" s="47" t="inlineStr">
        <is>
          <t>บริษัท ไซเบอร์ลิ้ง(ไทยแลนด์) จำกัด</t>
        </is>
      </c>
      <c r="D197" s="46" t="inlineStr">
        <is>
          <t>B2B บริษัท</t>
        </is>
      </c>
      <c r="E197" s="46" t="inlineStr">
        <is>
          <t>LKT. 2026-04-PL823</t>
        </is>
      </c>
      <c r="F197" s="46" t="inlineStr">
        <is>
          <t>20 เมษายน 2026</t>
        </is>
      </c>
      <c r="G197" s="46" t="inlineStr">
        <is>
          <t>เสาไฟถนน</t>
        </is>
      </c>
      <c r="H197" s="48" t="inlineStr">
        <is>
          <t>เสา post top 6M</t>
        </is>
      </c>
      <c r="I197" s="49" t="n">
        <v>220892</v>
      </c>
      <c r="J197" s="49" t="n">
        <v>15462.44</v>
      </c>
      <c r="K197" s="49" t="n">
        <v>236354.44</v>
      </c>
      <c r="L197" s="46" t="inlineStr">
        <is>
          <t>⚪ รอผล</t>
        </is>
      </c>
      <c r="M197" s="46" t="inlineStr">
        <is>
          <t>ต่ำ</t>
        </is>
      </c>
      <c r="N197" s="46" t="n">
        <v>1</v>
      </c>
      <c r="O197" s="46" t="inlineStr">
        <is>
          <t>—</t>
        </is>
      </c>
      <c r="P197" s="46" t="n"/>
      <c r="Q197" s="46" t="n"/>
      <c r="R197" s="46" t="n"/>
      <c r="S197" s="46" t="n"/>
    </row>
    <row r="198" ht="15" customHeight="1">
      <c r="A198" s="38" t="inlineStr">
        <is>
          <t>PL824</t>
        </is>
      </c>
      <c r="B198" s="38" t="inlineStr">
        <is>
          <t>2026-04</t>
        </is>
      </c>
      <c r="C198" s="39" t="inlineStr">
        <is>
          <t>บ.เจมินี เทค กรมท่ากระบี่</t>
        </is>
      </c>
      <c r="D198" s="38" t="inlineStr">
        <is>
          <t>B2G ภาครัฐ</t>
        </is>
      </c>
      <c r="E198" s="38" t="inlineStr">
        <is>
          <t>LKT. 2026-04 -PL824</t>
        </is>
      </c>
      <c r="F198" s="38" t="inlineStr">
        <is>
          <t>21 เมษายน 2026</t>
        </is>
      </c>
      <c r="G198" s="38" t="inlineStr">
        <is>
          <t>เสาไฟถนน</t>
        </is>
      </c>
      <c r="H198" s="40" t="inlineStr">
        <is>
          <t>Pole With Bracket 9M-T4-TR</t>
        </is>
      </c>
      <c r="I198" s="41" t="n">
        <v>589950</v>
      </c>
      <c r="J198" s="41" t="n">
        <v>41296.5</v>
      </c>
      <c r="K198" s="41" t="n">
        <v>631246.5</v>
      </c>
      <c r="L198" s="38" t="inlineStr">
        <is>
          <t>📋 ติดตาม</t>
        </is>
      </c>
      <c r="M198" s="38" t="inlineStr">
        <is>
          <t>กลาง</t>
        </is>
      </c>
      <c r="N198" s="38" t="n">
        <v>1</v>
      </c>
      <c r="O198" s="38" t="inlineStr">
        <is>
          <t>DOA</t>
        </is>
      </c>
      <c r="P198" s="38" t="n"/>
      <c r="Q198" s="38" t="n"/>
      <c r="R198" s="38" t="n"/>
      <c r="S198" s="38" t="n"/>
    </row>
    <row r="199" ht="15" customHeight="1">
      <c r="A199" s="38" t="inlineStr">
        <is>
          <t>PL825</t>
        </is>
      </c>
      <c r="B199" s="38" t="inlineStr">
        <is>
          <t>2026-04</t>
        </is>
      </c>
      <c r="C199" s="39" t="inlineStr">
        <is>
          <t>ช รุ่งแสง</t>
        </is>
      </c>
      <c r="D199" s="38" t="inlineStr">
        <is>
          <t>B2B อื่นๆ</t>
        </is>
      </c>
      <c r="E199" s="38" t="inlineStr">
        <is>
          <t>LKT. 2026-04 -PL825</t>
        </is>
      </c>
      <c r="F199" s="38" t="inlineStr">
        <is>
          <t>20 เมษายน 2026</t>
        </is>
      </c>
      <c r="G199" s="38" t="inlineStr">
        <is>
          <t>เสาไฟถนน</t>
        </is>
      </c>
      <c r="H199" s="40" t="inlineStr">
        <is>
          <t>Pole With Bracket 8M-T4-TR</t>
        </is>
      </c>
      <c r="I199" s="41" t="n">
        <v>402325</v>
      </c>
      <c r="J199" s="41" t="n">
        <v>28162.75</v>
      </c>
      <c r="K199" s="41" t="n">
        <v>430487.75</v>
      </c>
      <c r="L199" s="38" t="inlineStr">
        <is>
          <t>📋 ติดตาม</t>
        </is>
      </c>
      <c r="M199" s="38" t="inlineStr">
        <is>
          <t>กลาง</t>
        </is>
      </c>
      <c r="N199" s="38" t="n">
        <v>1</v>
      </c>
      <c r="O199" s="38" t="inlineStr">
        <is>
          <t>—</t>
        </is>
      </c>
      <c r="P199" s="38" t="n"/>
      <c r="Q199" s="38" t="n"/>
      <c r="R199" s="38" t="n"/>
      <c r="S199" s="38" t="n"/>
    </row>
    <row r="200" ht="15" customHeight="1">
      <c r="A200" s="46" t="inlineStr">
        <is>
          <t>PL826</t>
        </is>
      </c>
      <c r="B200" s="46" t="inlineStr">
        <is>
          <t>2026-04</t>
        </is>
      </c>
      <c r="C200" s="47" t="inlineStr">
        <is>
          <t>อบต.ตาขัน ธนกร</t>
        </is>
      </c>
      <c r="D200" s="46" t="inlineStr">
        <is>
          <t>B2G อปท.</t>
        </is>
      </c>
      <c r="E200" s="46" t="inlineStr">
        <is>
          <t>LKT. 2026-04 -PL826</t>
        </is>
      </c>
      <c r="F200" s="46" t="inlineStr">
        <is>
          <t>21 เมษายน 2026</t>
        </is>
      </c>
      <c r="G200" s="46" t="inlineStr">
        <is>
          <t>เสาไฟถนน</t>
        </is>
      </c>
      <c r="H200" s="48" t="inlineStr">
        <is>
          <t>Pole With Bracket 7M-T4-TR</t>
        </is>
      </c>
      <c r="I200" s="49" t="n">
        <v>123342.8</v>
      </c>
      <c r="J200" s="49" t="n">
        <v>8634</v>
      </c>
      <c r="K200" s="49" t="n">
        <v>131976.8</v>
      </c>
      <c r="L200" s="46" t="inlineStr">
        <is>
          <t>⚪ รอผล</t>
        </is>
      </c>
      <c r="M200" s="46" t="inlineStr">
        <is>
          <t>ต่ำ</t>
        </is>
      </c>
      <c r="N200" s="46" t="n">
        <v>1</v>
      </c>
      <c r="O200" s="46" t="inlineStr">
        <is>
          <t>—</t>
        </is>
      </c>
      <c r="P200" s="46" t="n"/>
      <c r="Q200" s="46" t="n"/>
      <c r="R200" s="46" t="n"/>
      <c r="S200" s="46" t="n"/>
    </row>
    <row r="201" ht="15" customHeight="1">
      <c r="A201" s="46" t="inlineStr">
        <is>
          <t>PL827</t>
        </is>
      </c>
      <c r="B201" s="46" t="inlineStr">
        <is>
          <t>2026-04</t>
        </is>
      </c>
      <c r="C201" s="47" t="inlineStr">
        <is>
          <t>บริษัท ซีซีทีวี (ประเทศไทย) จำกัด</t>
        </is>
      </c>
      <c r="D201" s="46" t="inlineStr">
        <is>
          <t>B2B อื่นๆ</t>
        </is>
      </c>
      <c r="E201" s="46" t="inlineStr">
        <is>
          <t>LKT. 2026-04 -PL827</t>
        </is>
      </c>
      <c r="F201" s="46" t="inlineStr">
        <is>
          <t>21 เมษายน 2026</t>
        </is>
      </c>
      <c r="G201" s="46" t="inlineStr">
        <is>
          <t>อื่นๆ</t>
        </is>
      </c>
      <c r="H201" s="48" t="inlineStr">
        <is>
          <t>Adaptor L200 OD60.5x4t Rev.01</t>
        </is>
      </c>
      <c r="I201" s="49" t="n">
        <v>128250</v>
      </c>
      <c r="J201" s="49" t="n">
        <v>8977.5</v>
      </c>
      <c r="K201" s="49" t="n">
        <v>137227.5</v>
      </c>
      <c r="L201" s="46" t="inlineStr">
        <is>
          <t>⚪ รอผล</t>
        </is>
      </c>
      <c r="M201" s="46" t="inlineStr">
        <is>
          <t>ต่ำ</t>
        </is>
      </c>
      <c r="N201" s="46" t="n">
        <v>1</v>
      </c>
      <c r="O201" s="46" t="inlineStr">
        <is>
          <t>ZETA-iOT</t>
        </is>
      </c>
      <c r="P201" s="46" t="n"/>
      <c r="Q201" s="46" t="n"/>
      <c r="R201" s="46" t="n"/>
      <c r="S201" s="46" t="n"/>
    </row>
    <row r="202" ht="15" customHeight="1">
      <c r="A202" s="50" t="inlineStr">
        <is>
          <t>PL828</t>
        </is>
      </c>
      <c r="B202" s="50" t="inlineStr">
        <is>
          <t>2026-04</t>
        </is>
      </c>
      <c r="C202" s="51" t="inlineStr">
        <is>
          <t>เทศบาลนครเชียงใหม่</t>
        </is>
      </c>
      <c r="D202" s="50" t="inlineStr">
        <is>
          <t>B2G อปท.</t>
        </is>
      </c>
      <c r="E202" s="50" t="inlineStr">
        <is>
          <t>LKT. 2026-01 -PL613</t>
        </is>
      </c>
      <c r="F202" s="50" t="inlineStr">
        <is>
          <t>7 มกราคม 2026</t>
        </is>
      </c>
      <c r="G202" s="50" t="inlineStr">
        <is>
          <t>เสาไฟถนน</t>
        </is>
      </c>
      <c r="H202" s="52" t="inlineStr">
        <is>
          <t>Pole With Bracket 9M-T4-TR</t>
        </is>
      </c>
      <c r="I202" s="53" t="n">
        <v>3556475</v>
      </c>
      <c r="J202" s="53" t="n">
        <v>248953.25</v>
      </c>
      <c r="K202" s="53" t="n">
        <v>3805428.25</v>
      </c>
      <c r="L202" s="50" t="inlineStr">
        <is>
          <t>🔥 ร้อน</t>
        </is>
      </c>
      <c r="M202" s="50" t="inlineStr">
        <is>
          <t>สูงมาก</t>
        </is>
      </c>
      <c r="N202" s="50" t="n">
        <v>1</v>
      </c>
      <c r="O202" s="50" t="inlineStr">
        <is>
          <t>—</t>
        </is>
      </c>
      <c r="P202" s="50" t="n"/>
      <c r="Q202" s="50" t="n"/>
      <c r="R202" s="50" t="n"/>
      <c r="S202" s="50" t="n"/>
    </row>
    <row r="203" ht="15" customHeight="1">
      <c r="A203" s="46" t="inlineStr">
        <is>
          <t>PL829</t>
        </is>
      </c>
      <c r="B203" s="46" t="inlineStr">
        <is>
          <t>2026-04</t>
        </is>
      </c>
      <c r="C203" s="47" t="inlineStr">
        <is>
          <t>วัดบ่อไร่</t>
        </is>
      </c>
      <c r="D203" s="46" t="inlineStr">
        <is>
          <t>B2B อื่นๆ</t>
        </is>
      </c>
      <c r="E203" s="46" t="inlineStr">
        <is>
          <t>LKT. 2026-04 -PL829</t>
        </is>
      </c>
      <c r="F203" s="46" t="inlineStr">
        <is>
          <t>21 เมษายน 2026</t>
        </is>
      </c>
      <c r="G203" s="46" t="inlineStr">
        <is>
          <t>เสาไฟถนน</t>
        </is>
      </c>
      <c r="H203" s="48" t="inlineStr">
        <is>
          <t>POLE WITH BRACKET L2M. H7M 4.5t พับได</t>
        </is>
      </c>
      <c r="I203" s="49" t="n">
        <v>14974.4</v>
      </c>
      <c r="J203" s="49" t="n">
        <v>1048.21</v>
      </c>
      <c r="K203" s="49" t="n">
        <v>16022.61</v>
      </c>
      <c r="L203" s="46" t="inlineStr">
        <is>
          <t>⚪ รอผล</t>
        </is>
      </c>
      <c r="M203" s="46" t="inlineStr">
        <is>
          <t>ต่ำ</t>
        </is>
      </c>
      <c r="N203" s="46" t="n">
        <v>1</v>
      </c>
      <c r="O203" s="46" t="inlineStr">
        <is>
          <t>—</t>
        </is>
      </c>
      <c r="P203" s="46" t="n"/>
      <c r="Q203" s="46" t="n"/>
      <c r="R203" s="46" t="n"/>
      <c r="S203" s="46" t="n"/>
    </row>
    <row r="204" ht="15" customHeight="1">
      <c r="A204" s="38" t="inlineStr">
        <is>
          <t>PL830</t>
        </is>
      </c>
      <c r="B204" s="38" t="inlineStr">
        <is>
          <t>2026-04</t>
        </is>
      </c>
      <c r="C204" s="39" t="inlineStr">
        <is>
          <t>ช.รุ่งแสงไลท์ติ้ง</t>
        </is>
      </c>
      <c r="D204" s="38" t="inlineStr">
        <is>
          <t>B2B อื่นๆ</t>
        </is>
      </c>
      <c r="E204" s="38" t="inlineStr">
        <is>
          <t>LKT. 2026-04 -PL830</t>
        </is>
      </c>
      <c r="F204" s="38" t="inlineStr">
        <is>
          <t>21 เมษายน 2026</t>
        </is>
      </c>
      <c r="G204" s="38" t="inlineStr">
        <is>
          <t>เสาไฟถนน</t>
        </is>
      </c>
      <c r="H204" s="40" t="inlineStr">
        <is>
          <t>เสาแปดเหลี่ยม L2.5M. H9M 4.5t พับได กิ่งเดี่ยว</t>
        </is>
      </c>
      <c r="I204" s="41" t="n">
        <v>888762</v>
      </c>
      <c r="J204" s="41" t="n">
        <v>62213.34</v>
      </c>
      <c r="K204" s="41" t="n">
        <v>950975.34</v>
      </c>
      <c r="L204" s="38" t="inlineStr">
        <is>
          <t>📋 ติดตาม</t>
        </is>
      </c>
      <c r="M204" s="38" t="inlineStr">
        <is>
          <t>กลาง</t>
        </is>
      </c>
      <c r="N204" s="38" t="n">
        <v>1</v>
      </c>
      <c r="O204" s="38" t="inlineStr">
        <is>
          <t>—</t>
        </is>
      </c>
      <c r="P204" s="38" t="n"/>
      <c r="Q204" s="38" t="n"/>
      <c r="R204" s="38" t="n"/>
      <c r="S204" s="38" t="n"/>
    </row>
    <row r="205" ht="15" customHeight="1">
      <c r="A205" s="46" t="inlineStr">
        <is>
          <t>PL831</t>
        </is>
      </c>
      <c r="B205" s="46" t="inlineStr">
        <is>
          <t>2026-04</t>
        </is>
      </c>
      <c r="C205" s="47" t="inlineStr">
        <is>
          <t>เค บี เอ็ม</t>
        </is>
      </c>
      <c r="D205" s="46" t="inlineStr">
        <is>
          <t>B2B อื่นๆ</t>
        </is>
      </c>
      <c r="E205" s="46" t="inlineStr">
        <is>
          <t>LKT. 2026-01 -PL624</t>
        </is>
      </c>
      <c r="F205" s="46" t="n"/>
      <c r="G205" s="46" t="inlineStr">
        <is>
          <t>เสาไฟถนน</t>
        </is>
      </c>
      <c r="H205" s="48" t="inlineStr">
        <is>
          <t>Ground Rod for hightmass pole</t>
        </is>
      </c>
      <c r="I205" s="49" t="n">
        <v>133344</v>
      </c>
      <c r="J205" s="49" t="n">
        <v>9334.08</v>
      </c>
      <c r="K205" s="49" t="n">
        <v>142678.08</v>
      </c>
      <c r="L205" s="46" t="inlineStr">
        <is>
          <t>⚪ รอผล</t>
        </is>
      </c>
      <c r="M205" s="46" t="inlineStr">
        <is>
          <t>ต่ำ</t>
        </is>
      </c>
      <c r="N205" s="46" t="n">
        <v>1</v>
      </c>
      <c r="O205" s="46" t="inlineStr">
        <is>
          <t>อปท. Supply</t>
        </is>
      </c>
      <c r="P205" s="46" t="n"/>
      <c r="Q205" s="46" t="n"/>
      <c r="R205" s="46" t="n"/>
      <c r="S205" s="46" t="n"/>
    </row>
    <row r="206" ht="15" customHeight="1">
      <c r="A206" s="38" t="inlineStr">
        <is>
          <t>PL832</t>
        </is>
      </c>
      <c r="B206" s="38" t="inlineStr">
        <is>
          <t>2026-04</t>
        </is>
      </c>
      <c r="C206" s="39" t="inlineStr">
        <is>
          <t>บ.ศุภฤทธิ  เสา9ม.</t>
        </is>
      </c>
      <c r="D206" s="38" t="inlineStr">
        <is>
          <t>B2B อื่นๆ</t>
        </is>
      </c>
      <c r="E206" s="38" t="inlineStr">
        <is>
          <t>LKT. 2026-04 -PL830</t>
        </is>
      </c>
      <c r="F206" s="38" t="inlineStr">
        <is>
          <t>29 เมษายน 2026</t>
        </is>
      </c>
      <c r="G206" s="38" t="inlineStr">
        <is>
          <t>เสาไฟถนน</t>
        </is>
      </c>
      <c r="H206" s="40" t="inlineStr">
        <is>
          <t>Pole With Bracket 9M-T4-TR</t>
        </is>
      </c>
      <c r="I206" s="41" t="n">
        <v>510580</v>
      </c>
      <c r="J206" s="41" t="n">
        <v>35740.6</v>
      </c>
      <c r="K206" s="41" t="n">
        <v>546320.6</v>
      </c>
      <c r="L206" s="38" t="inlineStr">
        <is>
          <t>📋 ติดตาม</t>
        </is>
      </c>
      <c r="M206" s="38" t="inlineStr">
        <is>
          <t>กลาง</t>
        </is>
      </c>
      <c r="N206" s="38" t="n">
        <v>1</v>
      </c>
      <c r="O206" s="38" t="inlineStr">
        <is>
          <t>—</t>
        </is>
      </c>
      <c r="P206" s="38" t="n"/>
      <c r="Q206" s="38" t="n"/>
      <c r="R206" s="38" t="n"/>
      <c r="S206" s="38" t="n"/>
    </row>
    <row r="207" ht="15" customHeight="1">
      <c r="A207" s="46" t="inlineStr">
        <is>
          <t>PL833</t>
        </is>
      </c>
      <c r="B207" s="46" t="inlineStr">
        <is>
          <t>2026-04</t>
        </is>
      </c>
      <c r="C207" s="47" t="inlineStr">
        <is>
          <t>ตรีสกุล</t>
        </is>
      </c>
      <c r="D207" s="46" t="inlineStr">
        <is>
          <t>B2B อื่นๆ</t>
        </is>
      </c>
      <c r="E207" s="46" t="inlineStr">
        <is>
          <t>LKT. 2026-04 -PL833</t>
        </is>
      </c>
      <c r="F207" s="46" t="inlineStr">
        <is>
          <t>23 เมษายน 2026</t>
        </is>
      </c>
      <c r="G207" s="46" t="inlineStr">
        <is>
          <t>LED Streetlight</t>
        </is>
      </c>
      <c r="H207" s="48" t="inlineStr">
        <is>
          <t>กิ่ง (ทอกลมหนา 2.3mm.) ขนาด 2x2.4 ม. R300 ตัด 2 ทาง</t>
        </is>
      </c>
      <c r="I207" s="49" t="n">
        <v>75871.60000000001</v>
      </c>
      <c r="J207" s="49" t="n">
        <v>5311.01</v>
      </c>
      <c r="K207" s="49" t="n">
        <v>81182.61</v>
      </c>
      <c r="L207" s="46" t="inlineStr">
        <is>
          <t>⚪ รอผล</t>
        </is>
      </c>
      <c r="M207" s="46" t="inlineStr">
        <is>
          <t>ต่ำ</t>
        </is>
      </c>
      <c r="N207" s="46" t="n">
        <v>1</v>
      </c>
      <c r="O207" s="46" t="inlineStr">
        <is>
          <t>—</t>
        </is>
      </c>
      <c r="P207" s="46" t="n"/>
      <c r="Q207" s="46" t="n"/>
      <c r="R207" s="46" t="n"/>
      <c r="S207" s="46" t="n"/>
    </row>
    <row r="208" ht="15" customHeight="1">
      <c r="A208" s="46" t="inlineStr">
        <is>
          <t>PL834</t>
        </is>
      </c>
      <c r="B208" s="46" t="inlineStr">
        <is>
          <t>2026-04</t>
        </is>
      </c>
      <c r="C208" s="47" t="inlineStr">
        <is>
          <t>สราญใจพริ้นติ้ง</t>
        </is>
      </c>
      <c r="D208" s="46" t="inlineStr">
        <is>
          <t>B2B อื่นๆ</t>
        </is>
      </c>
      <c r="E208" s="46" t="inlineStr">
        <is>
          <t>LKT. 2026-04 -PL834</t>
        </is>
      </c>
      <c r="F208" s="46" t="inlineStr">
        <is>
          <t>24 เมษายน 2026</t>
        </is>
      </c>
      <c r="G208" s="46" t="inlineStr">
        <is>
          <t>เสาไฟถนน</t>
        </is>
      </c>
      <c r="H208" s="48" t="inlineStr">
        <is>
          <t>เสาตัว T สูง 12M+ Arm Bracket 2โคม H0.5M L1.0M</t>
        </is>
      </c>
      <c r="I208" s="49" t="n">
        <v>133240.8</v>
      </c>
      <c r="J208" s="49" t="n">
        <v>9326.860000000001</v>
      </c>
      <c r="K208" s="49" t="n">
        <v>142567.66</v>
      </c>
      <c r="L208" s="46" t="inlineStr">
        <is>
          <t>⚪ รอผล</t>
        </is>
      </c>
      <c r="M208" s="46" t="inlineStr">
        <is>
          <t>ต่ำ</t>
        </is>
      </c>
      <c r="N208" s="46" t="n">
        <v>1</v>
      </c>
      <c r="O208" s="46" t="inlineStr">
        <is>
          <t>—</t>
        </is>
      </c>
      <c r="P208" s="46" t="n"/>
      <c r="Q208" s="46" t="n"/>
      <c r="R208" s="46" t="n"/>
      <c r="S208" s="46" t="n"/>
    </row>
    <row r="209" ht="15" customHeight="1">
      <c r="A209" s="46" t="inlineStr">
        <is>
          <t>PL835</t>
        </is>
      </c>
      <c r="B209" s="46" t="inlineStr">
        <is>
          <t>2026-04</t>
        </is>
      </c>
      <c r="C209" s="47" t="inlineStr">
        <is>
          <t>บ.ซี.เอส. เอ็นจิเนียริ่ง</t>
        </is>
      </c>
      <c r="D209" s="46" t="inlineStr">
        <is>
          <t>B2B อื่นๆ</t>
        </is>
      </c>
      <c r="E209" s="46" t="inlineStr">
        <is>
          <t>LKT. 2026-04 -PL835</t>
        </is>
      </c>
      <c r="F209" s="46" t="inlineStr">
        <is>
          <t>24 เมษายน 2026</t>
        </is>
      </c>
      <c r="G209" s="46" t="inlineStr">
        <is>
          <t>เสาไฟถนน</t>
        </is>
      </c>
      <c r="H209" s="48" t="inlineStr">
        <is>
          <t>Pole With Bracket 7M-T4-TR</t>
        </is>
      </c>
      <c r="I209" s="49" t="n">
        <v>5978</v>
      </c>
      <c r="J209" s="49" t="n">
        <v>418.46</v>
      </c>
      <c r="K209" s="49" t="n">
        <v>6396.46</v>
      </c>
      <c r="L209" s="46" t="inlineStr">
        <is>
          <t>⚪ รอผล</t>
        </is>
      </c>
      <c r="M209" s="46" t="inlineStr">
        <is>
          <t>ต่ำ</t>
        </is>
      </c>
      <c r="N209" s="46" t="n">
        <v>1</v>
      </c>
      <c r="O209" s="46" t="inlineStr">
        <is>
          <t>—</t>
        </is>
      </c>
      <c r="P209" s="46" t="n"/>
      <c r="Q209" s="46" t="n"/>
      <c r="R209" s="46" t="n"/>
      <c r="S209" s="46" t="n"/>
    </row>
    <row r="210" ht="15" customHeight="1">
      <c r="A210" s="46" t="inlineStr">
        <is>
          <t>PL836</t>
        </is>
      </c>
      <c r="B210" s="46" t="inlineStr">
        <is>
          <t>2026-04</t>
        </is>
      </c>
      <c r="C210" s="47" t="inlineStr">
        <is>
          <t>ชาติกิติออยล์</t>
        </is>
      </c>
      <c r="D210" s="46" t="inlineStr">
        <is>
          <t>B2B อื่นๆ</t>
        </is>
      </c>
      <c r="E210" s="46" t="inlineStr">
        <is>
          <t>LKT. 2026-04 -PL836</t>
        </is>
      </c>
      <c r="F210" s="46" t="inlineStr">
        <is>
          <t>27 เมษายน 2026</t>
        </is>
      </c>
      <c r="G210" s="46" t="inlineStr">
        <is>
          <t>LED Streetlight</t>
        </is>
      </c>
      <c r="H210" s="48" t="inlineStr">
        <is>
          <t>LED Streetlight 150W 5700K 23,250lm</t>
        </is>
      </c>
      <c r="I210" s="49" t="n">
        <v>18240</v>
      </c>
      <c r="J210" s="49" t="n">
        <v>1276.8</v>
      </c>
      <c r="K210" s="49" t="n">
        <v>19516.8</v>
      </c>
      <c r="L210" s="46" t="inlineStr">
        <is>
          <t>⚪ รอผล</t>
        </is>
      </c>
      <c r="M210" s="46" t="inlineStr">
        <is>
          <t>ต่ำ</t>
        </is>
      </c>
      <c r="N210" s="46" t="n">
        <v>1</v>
      </c>
      <c r="O210" s="46" t="inlineStr">
        <is>
          <t>—</t>
        </is>
      </c>
      <c r="P210" s="46" t="n"/>
      <c r="Q210" s="46" t="n"/>
      <c r="R210" s="46" t="n"/>
      <c r="S210" s="46" t="n"/>
    </row>
    <row r="211" ht="15" customHeight="1">
      <c r="A211" s="42" t="inlineStr">
        <is>
          <t>PL837</t>
        </is>
      </c>
      <c r="B211" s="42" t="inlineStr">
        <is>
          <t>2026-04</t>
        </is>
      </c>
      <c r="C211" s="43" t="inlineStr">
        <is>
          <t>บ.ยูเนียน ทราฟฟิค</t>
        </is>
      </c>
      <c r="D211" s="42" t="inlineStr">
        <is>
          <t>B2B อื่นๆ</t>
        </is>
      </c>
      <c r="E211" s="42" t="inlineStr">
        <is>
          <t>LKT. 2026-04 -PL837</t>
        </is>
      </c>
      <c r="F211" s="42" t="inlineStr">
        <is>
          <t>30 เมษายน 2026</t>
        </is>
      </c>
      <c r="G211" s="42" t="inlineStr">
        <is>
          <t>Guard Rail / การ์ดเรล</t>
        </is>
      </c>
      <c r="H211" s="44" t="inlineStr">
        <is>
          <t>เสาการดเรล OD100 H2.0M</t>
        </is>
      </c>
      <c r="I211" s="45" t="n">
        <v>1966887.44</v>
      </c>
      <c r="J211" s="45" t="n">
        <v>137682.12</v>
      </c>
      <c r="K211" s="45" t="n">
        <v>2104569.56</v>
      </c>
      <c r="L211" s="42" t="inlineStr">
        <is>
          <t>📞 ติดตาม-High</t>
        </is>
      </c>
      <c r="M211" s="42" t="inlineStr">
        <is>
          <t>สูง</t>
        </is>
      </c>
      <c r="N211" s="42" t="n">
        <v>1</v>
      </c>
      <c r="O211" s="42" t="inlineStr">
        <is>
          <t>—</t>
        </is>
      </c>
      <c r="P211" s="42" t="n"/>
      <c r="Q211" s="42" t="n"/>
      <c r="R211" s="42" t="n"/>
      <c r="S211" s="42" t="n"/>
    </row>
    <row r="212" ht="15" customHeight="1">
      <c r="A212" s="46" t="inlineStr">
        <is>
          <t>PL838</t>
        </is>
      </c>
      <c r="B212" s="46" t="inlineStr">
        <is>
          <t>2026-04</t>
        </is>
      </c>
      <c r="C212" s="47" t="inlineStr">
        <is>
          <t>บ.โอเอชเอ็นไซน์</t>
        </is>
      </c>
      <c r="D212" s="46" t="inlineStr">
        <is>
          <t>B2B อื่นๆ</t>
        </is>
      </c>
      <c r="E212" s="46" t="n"/>
      <c r="F212" s="46" t="inlineStr">
        <is>
          <t>27 เมษายน 2026</t>
        </is>
      </c>
      <c r="G212" s="46" t="inlineStr">
        <is>
          <t>อื่นๆ</t>
        </is>
      </c>
      <c r="H212" s="48" t="inlineStr">
        <is>
          <t>อื่นๆ</t>
        </is>
      </c>
      <c r="I212" s="49" t="n">
        <v>0</v>
      </c>
      <c r="J212" s="49" t="n">
        <v>0</v>
      </c>
      <c r="K212" s="49" t="n">
        <v>0</v>
      </c>
      <c r="L212" s="46" t="inlineStr">
        <is>
          <t>⚪ รอผล</t>
        </is>
      </c>
      <c r="M212" s="46" t="inlineStr">
        <is>
          <t>ต่ำ</t>
        </is>
      </c>
      <c r="N212" s="46" t="n">
        <v>0</v>
      </c>
      <c r="O212" s="46" t="inlineStr">
        <is>
          <t>—</t>
        </is>
      </c>
      <c r="P212" s="46" t="n"/>
      <c r="Q212" s="46" t="n"/>
      <c r="R212" s="46" t="n"/>
      <c r="S212" s="46" t="n"/>
    </row>
    <row r="213" ht="15" customHeight="1">
      <c r="A213" s="38" t="inlineStr">
        <is>
          <t>PL839</t>
        </is>
      </c>
      <c r="B213" s="38" t="inlineStr">
        <is>
          <t>2026-04</t>
        </is>
      </c>
      <c r="C213" s="39" t="inlineStr">
        <is>
          <t>คุณทยุตกรณ์</t>
        </is>
      </c>
      <c r="D213" s="38" t="inlineStr">
        <is>
          <t>B2C บุคคล</t>
        </is>
      </c>
      <c r="E213" s="38" t="inlineStr">
        <is>
          <t>LKT. 2026-04 -PL839</t>
        </is>
      </c>
      <c r="F213" s="38" t="n"/>
      <c r="G213" s="38" t="inlineStr">
        <is>
          <t>High Mast</t>
        </is>
      </c>
      <c r="H213" s="40" t="inlineStr">
        <is>
          <t>High Mast 15 M+วงแหวน 4โคม PCD 488</t>
        </is>
      </c>
      <c r="I213" s="41" t="n">
        <v>399744</v>
      </c>
      <c r="J213" s="41" t="n">
        <v>27982.08</v>
      </c>
      <c r="K213" s="41" t="n">
        <v>427726.08</v>
      </c>
      <c r="L213" s="38" t="inlineStr">
        <is>
          <t>📋 ติดตาม</t>
        </is>
      </c>
      <c r="M213" s="38" t="inlineStr">
        <is>
          <t>กลาง</t>
        </is>
      </c>
      <c r="N213" s="38" t="n">
        <v>1</v>
      </c>
      <c r="O213" s="38" t="inlineStr">
        <is>
          <t>—</t>
        </is>
      </c>
      <c r="P213" s="38" t="n"/>
      <c r="Q213" s="38" t="n"/>
      <c r="R213" s="38" t="n"/>
      <c r="S213" s="38" t="n"/>
    </row>
    <row r="214" ht="15" customHeight="1">
      <c r="A214" s="46" t="inlineStr">
        <is>
          <t>PL840</t>
        </is>
      </c>
      <c r="B214" s="46" t="inlineStr">
        <is>
          <t>2026-04</t>
        </is>
      </c>
      <c r="C214" s="47" t="inlineStr">
        <is>
          <t>ลิ้มเลิศ เอ็นจิเนียริ่ง</t>
        </is>
      </c>
      <c r="D214" s="46" t="inlineStr">
        <is>
          <t>B2B อื่นๆ</t>
        </is>
      </c>
      <c r="E214" s="46" t="inlineStr">
        <is>
          <t>LKT. 2026-04 -PL840</t>
        </is>
      </c>
      <c r="F214" s="46" t="inlineStr">
        <is>
          <t>30 เมษายน 2026</t>
        </is>
      </c>
      <c r="G214" s="46" t="inlineStr">
        <is>
          <t>เสาไฟถนน</t>
        </is>
      </c>
      <c r="H214" s="48" t="inlineStr">
        <is>
          <t>Pole With Bracket 7M-T4-TR</t>
        </is>
      </c>
      <c r="I214" s="49" t="n">
        <v>78792</v>
      </c>
      <c r="J214" s="49" t="n">
        <v>5515.44</v>
      </c>
      <c r="K214" s="49" t="n">
        <v>84307.44</v>
      </c>
      <c r="L214" s="46" t="inlineStr">
        <is>
          <t>⚪ รอผล</t>
        </is>
      </c>
      <c r="M214" s="46" t="inlineStr">
        <is>
          <t>ต่ำ</t>
        </is>
      </c>
      <c r="N214" s="46" t="n">
        <v>1</v>
      </c>
      <c r="O214" s="46" t="inlineStr">
        <is>
          <t>—</t>
        </is>
      </c>
      <c r="P214" s="46" t="n"/>
      <c r="Q214" s="46" t="n"/>
      <c r="R214" s="46" t="n"/>
      <c r="S214" s="46" t="n"/>
    </row>
    <row r="215" ht="15" customHeight="1">
      <c r="A215" s="38" t="inlineStr">
        <is>
          <t>PL841</t>
        </is>
      </c>
      <c r="B215" s="38" t="inlineStr">
        <is>
          <t>2026-04</t>
        </is>
      </c>
      <c r="C215" s="39" t="inlineStr">
        <is>
          <t>ไอซีซี</t>
        </is>
      </c>
      <c r="D215" s="38" t="inlineStr">
        <is>
          <t>B2B อื่นๆ</t>
        </is>
      </c>
      <c r="E215" s="38" t="inlineStr">
        <is>
          <t>LKT. 2026-04 -PL841</t>
        </is>
      </c>
      <c r="F215" s="38" t="n"/>
      <c r="G215" s="38" t="inlineStr">
        <is>
          <t>High Mast</t>
        </is>
      </c>
      <c r="H215" s="40" t="inlineStr">
        <is>
          <t>High mast Pole 25 M วงแหวน 6 โคม เหล็ก 6.0,4.5 มม.</t>
        </is>
      </c>
      <c r="I215" s="41" t="n">
        <v>520320</v>
      </c>
      <c r="J215" s="41" t="n">
        <v>36422.4</v>
      </c>
      <c r="K215" s="41" t="n">
        <v>556742.4</v>
      </c>
      <c r="L215" s="38" t="inlineStr">
        <is>
          <t>📋 ติดตาม</t>
        </is>
      </c>
      <c r="M215" s="38" t="inlineStr">
        <is>
          <t>กลาง</t>
        </is>
      </c>
      <c r="N215" s="38" t="n">
        <v>1</v>
      </c>
      <c r="O215" s="38" t="inlineStr">
        <is>
          <t>—</t>
        </is>
      </c>
      <c r="P215" s="38" t="n"/>
      <c r="Q215" s="38" t="n"/>
      <c r="R215" s="38" t="n"/>
      <c r="S215" s="38" t="n"/>
    </row>
    <row r="216" ht="15" customHeight="1">
      <c r="A216" s="46" t="inlineStr">
        <is>
          <t>PL843</t>
        </is>
      </c>
      <c r="B216" s="46" t="inlineStr">
        <is>
          <t>2026-04</t>
        </is>
      </c>
      <c r="C216" s="47" t="inlineStr">
        <is>
          <t>เทศบาลตำบลวังกะ</t>
        </is>
      </c>
      <c r="D216" s="46" t="inlineStr">
        <is>
          <t>B2G อปท.</t>
        </is>
      </c>
      <c r="E216" s="46" t="inlineStr">
        <is>
          <t>LKT. 2026-04 -PL843</t>
        </is>
      </c>
      <c r="F216" s="46" t="inlineStr">
        <is>
          <t>6 พฤษภาคม 2026</t>
        </is>
      </c>
      <c r="G216" s="46" t="inlineStr">
        <is>
          <t>เสาไฟถนน</t>
        </is>
      </c>
      <c r="H216" s="48" t="inlineStr">
        <is>
          <t>Pole With Bracket 6M-T4-TR</t>
        </is>
      </c>
      <c r="I216" s="49" t="n">
        <v>69962.2</v>
      </c>
      <c r="J216" s="49" t="n">
        <v>4897.35</v>
      </c>
      <c r="K216" s="49" t="n">
        <v>74859.55</v>
      </c>
      <c r="L216" s="46" t="inlineStr">
        <is>
          <t>⚪ รอผล</t>
        </is>
      </c>
      <c r="M216" s="46" t="inlineStr">
        <is>
          <t>ต่ำ</t>
        </is>
      </c>
      <c r="N216" s="46" t="n">
        <v>1</v>
      </c>
      <c r="O216" s="46" t="inlineStr">
        <is>
          <t>—</t>
        </is>
      </c>
      <c r="P216" s="46" t="n"/>
      <c r="Q216" s="46" t="n"/>
      <c r="R216" s="46" t="n"/>
      <c r="S216" s="46" t="n"/>
    </row>
    <row r="217" ht="15" customHeight="1">
      <c r="A217" s="46" t="inlineStr">
        <is>
          <t>PL844</t>
        </is>
      </c>
      <c r="B217" s="46" t="inlineStr">
        <is>
          <t>2026-04</t>
        </is>
      </c>
      <c r="C217" s="47" t="inlineStr">
        <is>
          <t>พัธน พาร์ท</t>
        </is>
      </c>
      <c r="D217" s="46" t="inlineStr">
        <is>
          <t>B2B อื่นๆ</t>
        </is>
      </c>
      <c r="E217" s="46" t="inlineStr">
        <is>
          <t>LKT. 2026-04 -PL844</t>
        </is>
      </c>
      <c r="F217" s="46" t="inlineStr">
        <is>
          <t>29 เมษายน 2026</t>
        </is>
      </c>
      <c r="G217" s="46" t="inlineStr">
        <is>
          <t>อื่นๆ</t>
        </is>
      </c>
      <c r="H217" s="48" t="inlineStr">
        <is>
          <t>หลอดโซเดียมแรงดันสูง SON-T 250W E40 28000lmPhilips</t>
        </is>
      </c>
      <c r="I217" s="49" t="n">
        <v>1110</v>
      </c>
      <c r="J217" s="49" t="n">
        <v>77.7</v>
      </c>
      <c r="K217" s="49" t="n">
        <v>1187.7</v>
      </c>
      <c r="L217" s="46" t="inlineStr">
        <is>
          <t>⚪ รอผล</t>
        </is>
      </c>
      <c r="M217" s="46" t="inlineStr">
        <is>
          <t>ต่ำ</t>
        </is>
      </c>
      <c r="N217" s="46" t="n">
        <v>1</v>
      </c>
      <c r="O217" s="46" t="inlineStr">
        <is>
          <t>—</t>
        </is>
      </c>
      <c r="P217" s="46" t="n"/>
      <c r="Q217" s="46" t="n"/>
      <c r="R217" s="46" t="n"/>
      <c r="S217" s="46" t="n"/>
    </row>
    <row r="218" ht="15" customHeight="1">
      <c r="A218" s="46" t="inlineStr">
        <is>
          <t>PL846</t>
        </is>
      </c>
      <c r="B218" s="46" t="inlineStr">
        <is>
          <t>2026-04</t>
        </is>
      </c>
      <c r="C218" s="47" t="inlineStr">
        <is>
          <t>กู๊ดวิล บิวดิ้ง</t>
        </is>
      </c>
      <c r="D218" s="46" t="inlineStr">
        <is>
          <t>B2B อื่นๆ</t>
        </is>
      </c>
      <c r="E218" s="46" t="inlineStr">
        <is>
          <t>LKT. 2026-04 -PL846</t>
        </is>
      </c>
      <c r="F218" s="46" t="inlineStr">
        <is>
          <t>5 พฤษภาคม 2026</t>
        </is>
      </c>
      <c r="G218" s="46" t="inlineStr">
        <is>
          <t>Guard Rail / การ์ดเรล</t>
        </is>
      </c>
      <c r="H218" s="48" t="inlineStr">
        <is>
          <t>เสาการดเรล OD100 H2.0M</t>
        </is>
      </c>
      <c r="I218" s="49" t="n">
        <v>117516.7</v>
      </c>
      <c r="J218" s="49" t="n">
        <v>8226.17</v>
      </c>
      <c r="K218" s="49" t="n">
        <v>125742.87</v>
      </c>
      <c r="L218" s="46" t="inlineStr">
        <is>
          <t>⚪ รอผล</t>
        </is>
      </c>
      <c r="M218" s="46" t="inlineStr">
        <is>
          <t>ต่ำ</t>
        </is>
      </c>
      <c r="N218" s="46" t="n">
        <v>1</v>
      </c>
      <c r="O218" s="46" t="inlineStr">
        <is>
          <t>—</t>
        </is>
      </c>
      <c r="P218" s="46" t="n"/>
      <c r="Q218" s="46" t="n"/>
      <c r="R218" s="46" t="n"/>
      <c r="S218" s="46" t="n"/>
    </row>
    <row r="219" ht="15" customHeight="1">
      <c r="A219" s="46" t="inlineStr">
        <is>
          <t>PL847</t>
        </is>
      </c>
      <c r="B219" s="46" t="inlineStr">
        <is>
          <t>2026-04</t>
        </is>
      </c>
      <c r="C219" s="47" t="inlineStr">
        <is>
          <t>SI / บริษัท ซีซีทีวี (ประเทศไทย) จำกัด</t>
        </is>
      </c>
      <c r="D219" s="46" t="inlineStr">
        <is>
          <t>B2B บริษัท</t>
        </is>
      </c>
      <c r="E219" s="46" t="inlineStr">
        <is>
          <t>LKT. 2026-04 -PL847</t>
        </is>
      </c>
      <c r="F219" s="46" t="inlineStr">
        <is>
          <t>30 เมษายน 2026</t>
        </is>
      </c>
      <c r="G219" s="46" t="inlineStr">
        <is>
          <t>LED Streetlight</t>
        </is>
      </c>
      <c r="H219" s="48" t="inlineStr">
        <is>
          <t>Street Light Cover E27</t>
        </is>
      </c>
      <c r="I219" s="49" t="n">
        <v>21350</v>
      </c>
      <c r="J219" s="49" t="n">
        <v>1494.5</v>
      </c>
      <c r="K219" s="49" t="n">
        <v>22844.5</v>
      </c>
      <c r="L219" s="46" t="inlineStr">
        <is>
          <t>⚪ รอผล</t>
        </is>
      </c>
      <c r="M219" s="46" t="inlineStr">
        <is>
          <t>ต่ำ</t>
        </is>
      </c>
      <c r="N219" s="46" t="n">
        <v>1</v>
      </c>
      <c r="O219" s="46" t="inlineStr">
        <is>
          <t>ZETA-iOT</t>
        </is>
      </c>
      <c r="P219" s="46" t="n"/>
      <c r="Q219" s="46" t="n"/>
      <c r="R219" s="46" t="n"/>
      <c r="S219" s="46" t="n"/>
    </row>
    <row r="220" ht="15" customHeight="1">
      <c r="A220" s="38" t="inlineStr">
        <is>
          <t>PL848</t>
        </is>
      </c>
      <c r="B220" s="38" t="inlineStr">
        <is>
          <t>2026-05</t>
        </is>
      </c>
      <c r="C220" s="39" t="inlineStr">
        <is>
          <t>เอส ที เซอร์วิส ชุมพร</t>
        </is>
      </c>
      <c r="D220" s="38" t="inlineStr">
        <is>
          <t>B2B อื่นๆ</t>
        </is>
      </c>
      <c r="E220" s="38" t="inlineStr">
        <is>
          <t>LKT. 2026-05 -PL848</t>
        </is>
      </c>
      <c r="F220" s="38" t="n"/>
      <c r="G220" s="38" t="inlineStr">
        <is>
          <t>High Mast</t>
        </is>
      </c>
      <c r="H220" s="40" t="inlineStr">
        <is>
          <t>High mast Pole 15 M วงแหวน 6 โคม เหล็ก 4.5 มม.</t>
        </is>
      </c>
      <c r="I220" s="41" t="n">
        <v>284709.6</v>
      </c>
      <c r="J220" s="41" t="n">
        <v>19929.67</v>
      </c>
      <c r="K220" s="41" t="n">
        <v>304639.27</v>
      </c>
      <c r="L220" s="38" t="inlineStr">
        <is>
          <t>📋 ติดตาม</t>
        </is>
      </c>
      <c r="M220" s="38" t="inlineStr">
        <is>
          <t>กลาง</t>
        </is>
      </c>
      <c r="N220" s="38" t="n">
        <v>1</v>
      </c>
      <c r="O220" s="38" t="inlineStr">
        <is>
          <t>—</t>
        </is>
      </c>
      <c r="P220" s="38" t="n"/>
      <c r="Q220" s="38" t="n"/>
      <c r="R220" s="38" t="n"/>
      <c r="S220" s="38" t="n"/>
    </row>
    <row r="221" ht="15" customHeight="1">
      <c r="A221" s="46" t="inlineStr">
        <is>
          <t>PL849</t>
        </is>
      </c>
      <c r="B221" s="46" t="inlineStr">
        <is>
          <t>2026-05</t>
        </is>
      </c>
      <c r="C221" s="47" t="inlineStr">
        <is>
          <t>วันชัย</t>
        </is>
      </c>
      <c r="D221" s="46" t="inlineStr">
        <is>
          <t>B2B อื่นๆ</t>
        </is>
      </c>
      <c r="E221" s="46" t="inlineStr">
        <is>
          <t>LKT. 2026-05 -PL849</t>
        </is>
      </c>
      <c r="F221" s="46" t="n"/>
      <c r="G221" s="46" t="inlineStr">
        <is>
          <t>High Mast</t>
        </is>
      </c>
      <c r="H221" s="48" t="inlineStr">
        <is>
          <t>High Mast 15 M PCD550+วงแหวน 6 โคม(โดมOD890)</t>
        </is>
      </c>
      <c r="I221" s="49" t="n">
        <v>227950</v>
      </c>
      <c r="J221" s="49" t="n">
        <v>15956.5</v>
      </c>
      <c r="K221" s="49" t="n">
        <v>243906.5</v>
      </c>
      <c r="L221" s="46" t="inlineStr">
        <is>
          <t>⚪ รอผล</t>
        </is>
      </c>
      <c r="M221" s="46" t="inlineStr">
        <is>
          <t>ต่ำ</t>
        </is>
      </c>
      <c r="N221" s="46" t="n">
        <v>1</v>
      </c>
      <c r="O221" s="46" t="inlineStr">
        <is>
          <t>—</t>
        </is>
      </c>
      <c r="P221" s="46" t="n"/>
      <c r="Q221" s="46" t="n"/>
      <c r="R221" s="46" t="n"/>
      <c r="S221" s="46" t="n"/>
    </row>
    <row r="222" ht="15" customHeight="1">
      <c r="A222" s="50" t="inlineStr">
        <is>
          <t>PL850</t>
        </is>
      </c>
      <c r="B222" s="50" t="inlineStr">
        <is>
          <t>2026-05</t>
        </is>
      </c>
      <c r="C222" s="51" t="inlineStr">
        <is>
          <t>เบตเตอร์ เวิร์ลด</t>
        </is>
      </c>
      <c r="D222" s="50" t="inlineStr">
        <is>
          <t>B2B อื่นๆ</t>
        </is>
      </c>
      <c r="E222" s="50" t="inlineStr">
        <is>
          <t>LKT. 2026-05 -PL851</t>
        </is>
      </c>
      <c r="F222" s="50" t="inlineStr">
        <is>
          <t>11 พฤษภาคม 2026</t>
        </is>
      </c>
      <c r="G222" s="50" t="inlineStr">
        <is>
          <t>Guard Rail / การ์ดเรล</t>
        </is>
      </c>
      <c r="H222" s="52" t="inlineStr">
        <is>
          <t>เสาการดเรล OD100 H2.0M (เชื่อมเพลท)</t>
        </is>
      </c>
      <c r="I222" s="53" t="n">
        <v>3587699.64</v>
      </c>
      <c r="J222" s="53" t="n">
        <v>251138.97</v>
      </c>
      <c r="K222" s="53" t="n">
        <v>3838838.61</v>
      </c>
      <c r="L222" s="50" t="inlineStr">
        <is>
          <t>🔥 ร้อน</t>
        </is>
      </c>
      <c r="M222" s="50" t="inlineStr">
        <is>
          <t>สูงมาก</t>
        </is>
      </c>
      <c r="N222" s="50" t="n">
        <v>1</v>
      </c>
      <c r="O222" s="50" t="inlineStr">
        <is>
          <t>—</t>
        </is>
      </c>
      <c r="P222" s="50" t="n"/>
      <c r="Q222" s="50" t="n"/>
      <c r="R222" s="50" t="n"/>
      <c r="S222" s="50" t="n"/>
    </row>
    <row r="223" ht="15" customHeight="1">
      <c r="A223" s="46" t="inlineStr">
        <is>
          <t>PL851</t>
        </is>
      </c>
      <c r="B223" s="46" t="inlineStr">
        <is>
          <t>2026-05</t>
        </is>
      </c>
      <c r="C223" s="47" t="inlineStr">
        <is>
          <t>เดลต้า พลัส  ชุดเกียร์วินซ์คู่</t>
        </is>
      </c>
      <c r="D223" s="46" t="inlineStr">
        <is>
          <t>B2B อื่นๆ</t>
        </is>
      </c>
      <c r="E223" s="46" t="inlineStr">
        <is>
          <t>LKT. 2026-05-PL851</t>
        </is>
      </c>
      <c r="F223" s="46" t="inlineStr">
        <is>
          <t>5 พฤษภาคม 2026</t>
        </is>
      </c>
      <c r="G223" s="46" t="inlineStr">
        <is>
          <t>เสาไฟถนน</t>
        </is>
      </c>
      <c r="H223" s="48" t="inlineStr">
        <is>
          <t>ชุดเกียรวินซคู+ซัพพอรตเกียร+ชุดบังคับสลิงHM25m</t>
        </is>
      </c>
      <c r="I223" s="49" t="n">
        <v>118750</v>
      </c>
      <c r="J223" s="49" t="n">
        <v>8312.5</v>
      </c>
      <c r="K223" s="49" t="n">
        <v>127062.5</v>
      </c>
      <c r="L223" s="46" t="inlineStr">
        <is>
          <t>⚪ รอผล</t>
        </is>
      </c>
      <c r="M223" s="46" t="inlineStr">
        <is>
          <t>ต่ำ</t>
        </is>
      </c>
      <c r="N223" s="46" t="n">
        <v>1</v>
      </c>
      <c r="O223" s="46" t="inlineStr">
        <is>
          <t>DOA</t>
        </is>
      </c>
      <c r="P223" s="46" t="n"/>
      <c r="Q223" s="46" t="n"/>
      <c r="R223" s="46" t="n"/>
      <c r="S223" s="46" t="n"/>
    </row>
    <row r="224" ht="15" customHeight="1">
      <c r="A224" s="46" t="inlineStr">
        <is>
          <t>PL852</t>
        </is>
      </c>
      <c r="B224" s="46" t="inlineStr">
        <is>
          <t>2026-05</t>
        </is>
      </c>
      <c r="C224" s="47" t="inlineStr">
        <is>
          <t>หจก วันชัยการไฟฟ้า R01</t>
        </is>
      </c>
      <c r="D224" s="46" t="inlineStr">
        <is>
          <t>B2B หจก.</t>
        </is>
      </c>
      <c r="E224" s="46" t="inlineStr">
        <is>
          <t>LKT. 2026-05 -PL852</t>
        </is>
      </c>
      <c r="F224" s="46" t="inlineStr">
        <is>
          <t>5 พฤษภาคม 2026</t>
        </is>
      </c>
      <c r="G224" s="46" t="inlineStr">
        <is>
          <t>เสาไฟถนน</t>
        </is>
      </c>
      <c r="H224" s="48" t="inlineStr">
        <is>
          <t>เสากลมตรงขนาด 3 1/2''สูง 6 เมตร</t>
        </is>
      </c>
      <c r="I224" s="49" t="n">
        <v>28665</v>
      </c>
      <c r="J224" s="49" t="n">
        <v>2006.55</v>
      </c>
      <c r="K224" s="49" t="n">
        <v>30671.55</v>
      </c>
      <c r="L224" s="46" t="inlineStr">
        <is>
          <t>⚪ รอผล</t>
        </is>
      </c>
      <c r="M224" s="46" t="inlineStr">
        <is>
          <t>ต่ำ</t>
        </is>
      </c>
      <c r="N224" s="46" t="n">
        <v>1</v>
      </c>
      <c r="O224" s="46" t="inlineStr">
        <is>
          <t>—</t>
        </is>
      </c>
      <c r="P224" s="46" t="n"/>
      <c r="Q224" s="46" t="n"/>
      <c r="R224" s="46" t="n"/>
      <c r="S224" s="46" t="n"/>
    </row>
    <row r="225" ht="15" customHeight="1">
      <c r="A225" s="42" t="inlineStr">
        <is>
          <t>PL853</t>
        </is>
      </c>
      <c r="B225" s="42" t="inlineStr">
        <is>
          <t>2026-05</t>
        </is>
      </c>
      <c r="C225" s="43" t="inlineStr">
        <is>
          <t>เอสไลน์พาวเวอร์ [Dealer ใต้]</t>
        </is>
      </c>
      <c r="D225" s="42" t="inlineStr">
        <is>
          <t>B2B อื่นๆ</t>
        </is>
      </c>
      <c r="E225" s="42" t="inlineStr">
        <is>
          <t>LKT. 2026-05 -PL853</t>
        </is>
      </c>
      <c r="F225" s="42" t="inlineStr">
        <is>
          <t>6 พฤษภาคม 2026</t>
        </is>
      </c>
      <c r="G225" s="42" t="inlineStr">
        <is>
          <t>เสาไฟถนน</t>
        </is>
      </c>
      <c r="H225" s="44" t="inlineStr">
        <is>
          <t>Pole With Bracket 9M-T4-TR</t>
        </is>
      </c>
      <c r="I225" s="45" t="n">
        <v>1896496</v>
      </c>
      <c r="J225" s="45" t="n">
        <v>132754.72</v>
      </c>
      <c r="K225" s="45" t="n">
        <v>2029250.72</v>
      </c>
      <c r="L225" s="42" t="inlineStr">
        <is>
          <t>📞 ติดตาม-High</t>
        </is>
      </c>
      <c r="M225" s="42" t="inlineStr">
        <is>
          <t>สูง</t>
        </is>
      </c>
      <c r="N225" s="42" t="n">
        <v>1</v>
      </c>
      <c r="O225" s="42" t="inlineStr">
        <is>
          <t>—</t>
        </is>
      </c>
      <c r="P225" s="42" t="n"/>
      <c r="Q225" s="42" t="n"/>
      <c r="R225" s="42" t="n"/>
      <c r="S225" s="42" t="n"/>
    </row>
    <row r="226" ht="15" customHeight="1">
      <c r="A226" s="46" t="inlineStr">
        <is>
          <t>PL854</t>
        </is>
      </c>
      <c r="B226" s="46" t="inlineStr">
        <is>
          <t>2026-05</t>
        </is>
      </c>
      <c r="C226" s="47" t="inlineStr">
        <is>
          <t>บ.พี เอ็ม เอส การไฟฟ้า ไฮแมส15_6</t>
        </is>
      </c>
      <c r="D226" s="46" t="inlineStr">
        <is>
          <t>B2B อื่นๆ</t>
        </is>
      </c>
      <c r="E226" s="46" t="inlineStr">
        <is>
          <t>LKT. 2026-03 -PL764</t>
        </is>
      </c>
      <c r="F226" s="46" t="inlineStr">
        <is>
          <t>6 พฤษภาคม 2026</t>
        </is>
      </c>
      <c r="G226" s="46" t="inlineStr">
        <is>
          <t>LED Floodlight</t>
        </is>
      </c>
      <c r="H226" s="48" t="inlineStr">
        <is>
          <t>BTFL-ZC03-400W/LED FLOODLIGHT 400W/6500K</t>
        </is>
      </c>
      <c r="I226" s="49" t="n">
        <v>44100</v>
      </c>
      <c r="J226" s="49" t="n">
        <v>3087</v>
      </c>
      <c r="K226" s="49" t="n">
        <v>47187</v>
      </c>
      <c r="L226" s="46" t="inlineStr">
        <is>
          <t>⚪ รอผล</t>
        </is>
      </c>
      <c r="M226" s="46" t="inlineStr">
        <is>
          <t>ต่ำ</t>
        </is>
      </c>
      <c r="N226" s="46" t="n">
        <v>1</v>
      </c>
      <c r="O226" s="46" t="inlineStr">
        <is>
          <t>—</t>
        </is>
      </c>
      <c r="P226" s="46" t="n"/>
      <c r="Q226" s="46" t="n"/>
      <c r="R226" s="46" t="n"/>
      <c r="S226" s="46" t="n"/>
    </row>
    <row r="227" ht="15" customHeight="1">
      <c r="A227" s="38" t="inlineStr">
        <is>
          <t>PL855</t>
        </is>
      </c>
      <c r="B227" s="38" t="inlineStr">
        <is>
          <t>2026-05</t>
        </is>
      </c>
      <c r="C227" s="39" t="inlineStr">
        <is>
          <t>บ.นิวสตาร์</t>
        </is>
      </c>
      <c r="D227" s="38" t="inlineStr">
        <is>
          <t>B2B อื่นๆ</t>
        </is>
      </c>
      <c r="E227" s="38" t="inlineStr">
        <is>
          <t>LKT. 2026-05-PL855</t>
        </is>
      </c>
      <c r="F227" s="38" t="inlineStr">
        <is>
          <t>7 พฤษภาคม 2026</t>
        </is>
      </c>
      <c r="G227" s="38" t="inlineStr">
        <is>
          <t>High Mast</t>
        </is>
      </c>
      <c r="H227" s="40" t="inlineStr">
        <is>
          <t>High Mast Pole 10 M + วงแหวน 6 โคม</t>
        </is>
      </c>
      <c r="I227" s="41" t="n">
        <v>434532</v>
      </c>
      <c r="J227" s="41" t="n">
        <v>30417.24</v>
      </c>
      <c r="K227" s="41" t="n">
        <v>464949.24</v>
      </c>
      <c r="L227" s="38" t="inlineStr">
        <is>
          <t>📋 ติดตาม</t>
        </is>
      </c>
      <c r="M227" s="38" t="inlineStr">
        <is>
          <t>กลาง</t>
        </is>
      </c>
      <c r="N227" s="38" t="n">
        <v>1</v>
      </c>
      <c r="O227" s="38" t="inlineStr">
        <is>
          <t>—</t>
        </is>
      </c>
      <c r="P227" s="38" t="n"/>
      <c r="Q227" s="38" t="n"/>
      <c r="R227" s="38" t="n"/>
      <c r="S227" s="38" t="n"/>
    </row>
    <row r="228" ht="15" customHeight="1">
      <c r="A228" s="38" t="inlineStr">
        <is>
          <t>PL856</t>
        </is>
      </c>
      <c r="B228" s="38" t="inlineStr">
        <is>
          <t>2026-05</t>
        </is>
      </c>
      <c r="C228" s="39" t="inlineStr">
        <is>
          <t>เค บี เอ็ม  เสา HM 30ม.</t>
        </is>
      </c>
      <c r="D228" s="38" t="inlineStr">
        <is>
          <t>B2B อื่นๆ</t>
        </is>
      </c>
      <c r="E228" s="38" t="inlineStr">
        <is>
          <t>LKT. 2026-05 -PL856</t>
        </is>
      </c>
      <c r="F228" s="38" t="inlineStr">
        <is>
          <t>7 พฤษภาคม 2026</t>
        </is>
      </c>
      <c r="G228" s="38" t="inlineStr">
        <is>
          <t>High Mast</t>
        </is>
      </c>
      <c r="H228" s="40" t="inlineStr">
        <is>
          <t>High mast Pole 30 M วงแหวน 8 โคม เหล็ก 6.0,4.5 มม.</t>
        </is>
      </c>
      <c r="I228" s="41" t="n">
        <v>342216</v>
      </c>
      <c r="J228" s="41" t="n">
        <v>23955.12</v>
      </c>
      <c r="K228" s="41" t="n">
        <v>366171.12</v>
      </c>
      <c r="L228" s="38" t="inlineStr">
        <is>
          <t>📋 ติดตาม</t>
        </is>
      </c>
      <c r="M228" s="38" t="inlineStr">
        <is>
          <t>กลาง</t>
        </is>
      </c>
      <c r="N228" s="38" t="n">
        <v>1</v>
      </c>
      <c r="O228" s="38" t="inlineStr">
        <is>
          <t>อปท. Supply</t>
        </is>
      </c>
      <c r="P228" s="38" t="n"/>
      <c r="Q228" s="38" t="n"/>
      <c r="R228" s="38" t="n"/>
      <c r="S228" s="38" t="n"/>
    </row>
    <row r="229" ht="15" customHeight="1">
      <c r="A229" s="46" t="inlineStr">
        <is>
          <t>PL858</t>
        </is>
      </c>
      <c r="B229" s="46" t="inlineStr">
        <is>
          <t>2026-05</t>
        </is>
      </c>
      <c r="C229" s="47" t="inlineStr">
        <is>
          <t>บ.ธัญวลัยฐนกร</t>
        </is>
      </c>
      <c r="D229" s="46" t="inlineStr">
        <is>
          <t>B2B อื่นๆ</t>
        </is>
      </c>
      <c r="E229" s="46" t="inlineStr">
        <is>
          <t>LKT. 2026-05-PL858</t>
        </is>
      </c>
      <c r="F229" s="46" t="inlineStr">
        <is>
          <t>12 พฤษภาคม 2026</t>
        </is>
      </c>
      <c r="G229" s="46" t="inlineStr">
        <is>
          <t>Guard Rail / การ์ดเรล</t>
        </is>
      </c>
      <c r="H229" s="48" t="inlineStr">
        <is>
          <t>เสาการดเรล OD100 H2.0M</t>
        </is>
      </c>
      <c r="I229" s="49" t="n">
        <v>18539.64</v>
      </c>
      <c r="J229" s="49" t="n">
        <v>1297.77</v>
      </c>
      <c r="K229" s="49" t="n">
        <v>19837.41</v>
      </c>
      <c r="L229" s="46" t="inlineStr">
        <is>
          <t>⚪ รอผล</t>
        </is>
      </c>
      <c r="M229" s="46" t="inlineStr">
        <is>
          <t>ต่ำ</t>
        </is>
      </c>
      <c r="N229" s="46" t="n">
        <v>1</v>
      </c>
      <c r="O229" s="46" t="inlineStr">
        <is>
          <t>—</t>
        </is>
      </c>
      <c r="P229" s="46" t="n"/>
      <c r="Q229" s="46" t="n"/>
      <c r="R229" s="46" t="n"/>
      <c r="S229" s="46" t="n"/>
    </row>
    <row r="230" ht="15" customHeight="1">
      <c r="A230" s="46" t="inlineStr">
        <is>
          <t>PL859</t>
        </is>
      </c>
      <c r="B230" s="46" t="inlineStr">
        <is>
          <t>2026-05</t>
        </is>
      </c>
      <c r="C230" s="47" t="inlineStr">
        <is>
          <t>อาศิรา ดีไซน์</t>
        </is>
      </c>
      <c r="D230" s="46" t="inlineStr">
        <is>
          <t>B2B อื่นๆ</t>
        </is>
      </c>
      <c r="E230" s="46" t="inlineStr">
        <is>
          <t>LKT. 2026-05 -PL859</t>
        </is>
      </c>
      <c r="F230" s="46" t="inlineStr">
        <is>
          <t>11 พฤษภาคม 2026</t>
        </is>
      </c>
      <c r="G230" s="46" t="inlineStr">
        <is>
          <t>เสาไฟถนน</t>
        </is>
      </c>
      <c r="H230" s="48" t="inlineStr">
        <is>
          <t>Pole With Bracket 7M-T4-TR</t>
        </is>
      </c>
      <c r="I230" s="49" t="n">
        <v>57123.5</v>
      </c>
      <c r="J230" s="49" t="n">
        <v>3998.65</v>
      </c>
      <c r="K230" s="49" t="n">
        <v>61122.15</v>
      </c>
      <c r="L230" s="46" t="inlineStr">
        <is>
          <t>⚪ รอผล</t>
        </is>
      </c>
      <c r="M230" s="46" t="inlineStr">
        <is>
          <t>ต่ำ</t>
        </is>
      </c>
      <c r="N230" s="46" t="n">
        <v>1</v>
      </c>
      <c r="O230" s="46" t="inlineStr">
        <is>
          <t>—</t>
        </is>
      </c>
      <c r="P230" s="46" t="n"/>
      <c r="Q230" s="46" t="n"/>
      <c r="R230" s="46" t="n"/>
      <c r="S230" s="46" t="n"/>
    </row>
    <row r="231" ht="15" customHeight="1">
      <c r="A231" s="38" t="inlineStr">
        <is>
          <t>PL860</t>
        </is>
      </c>
      <c r="B231" s="38" t="inlineStr">
        <is>
          <t>2026-05</t>
        </is>
      </c>
      <c r="C231" s="39" t="inlineStr">
        <is>
          <t>กรุงเทพเอ็นยิเนียริ่ง</t>
        </is>
      </c>
      <c r="D231" s="38" t="inlineStr">
        <is>
          <t>B2B อื่นๆ</t>
        </is>
      </c>
      <c r="E231" s="38" t="inlineStr">
        <is>
          <t>LKT. 2026-05 -PL860</t>
        </is>
      </c>
      <c r="F231" s="38" t="inlineStr">
        <is>
          <t>11 พฤษภาคม 2026</t>
        </is>
      </c>
      <c r="G231" s="38" t="inlineStr">
        <is>
          <t>High Mast</t>
        </is>
      </c>
      <c r="H231" s="40" t="inlineStr">
        <is>
          <t>High mast Pole 25 M วงแหวน 8 โคม เหล็ก 6.0,4.5 มม.</t>
        </is>
      </c>
      <c r="I231" s="41" t="n">
        <v>580356</v>
      </c>
      <c r="J231" s="41" t="n">
        <v>40624.92</v>
      </c>
      <c r="K231" s="41" t="n">
        <v>620980.92</v>
      </c>
      <c r="L231" s="38" t="inlineStr">
        <is>
          <t>📋 ติดตาม</t>
        </is>
      </c>
      <c r="M231" s="38" t="inlineStr">
        <is>
          <t>กลาง</t>
        </is>
      </c>
      <c r="N231" s="38" t="n">
        <v>1</v>
      </c>
      <c r="O231" s="38" t="inlineStr">
        <is>
          <t>—</t>
        </is>
      </c>
      <c r="P231" s="38" t="n"/>
      <c r="Q231" s="38" t="n"/>
      <c r="R231" s="38" t="n"/>
      <c r="S231" s="38" t="n"/>
    </row>
    <row r="232" ht="15" customHeight="1">
      <c r="A232" s="50" t="inlineStr">
        <is>
          <t>PL861</t>
        </is>
      </c>
      <c r="B232" s="50" t="inlineStr">
        <is>
          <t>2026-05</t>
        </is>
      </c>
      <c r="C232" s="51" t="inlineStr">
        <is>
          <t>วันชัยการไฟฟ้า HM20_8</t>
        </is>
      </c>
      <c r="D232" s="50" t="inlineStr">
        <is>
          <t>B2B อื่นๆ</t>
        </is>
      </c>
      <c r="E232" s="50" t="inlineStr">
        <is>
          <t>LKT. 2026-05 -PL861</t>
        </is>
      </c>
      <c r="F232" s="50" t="inlineStr">
        <is>
          <t>12 พฤษภาคม 2026</t>
        </is>
      </c>
      <c r="G232" s="50" t="inlineStr">
        <is>
          <t>High Mast</t>
        </is>
      </c>
      <c r="H232" s="52" t="inlineStr">
        <is>
          <t>HIGH MAST POLE 20M วงแหวน 8โคม</t>
        </is>
      </c>
      <c r="I232" s="53" t="n">
        <v>4401395.6</v>
      </c>
      <c r="J232" s="53" t="n">
        <v>308097.69</v>
      </c>
      <c r="K232" s="53" t="n">
        <v>4709493.29</v>
      </c>
      <c r="L232" s="50" t="inlineStr">
        <is>
          <t>🔥 ร้อน</t>
        </is>
      </c>
      <c r="M232" s="50" t="inlineStr">
        <is>
          <t>สูงมาก</t>
        </is>
      </c>
      <c r="N232" s="50" t="n">
        <v>1</v>
      </c>
      <c r="O232" s="50" t="inlineStr">
        <is>
          <t>—</t>
        </is>
      </c>
      <c r="P232" s="50" t="n"/>
      <c r="Q232" s="50" t="n"/>
      <c r="R232" s="50" t="n"/>
      <c r="S232" s="50" t="n"/>
    </row>
    <row r="233" ht="15" customHeight="1">
      <c r="A233" s="38" t="inlineStr">
        <is>
          <t>PL862</t>
        </is>
      </c>
      <c r="B233" s="38" t="inlineStr">
        <is>
          <t>2026-05</t>
        </is>
      </c>
      <c r="C233" s="39" t="inlineStr">
        <is>
          <t>เอ็ม เอ็น</t>
        </is>
      </c>
      <c r="D233" s="38" t="inlineStr">
        <is>
          <t>B2B อื่นๆ</t>
        </is>
      </c>
      <c r="E233" s="38" t="inlineStr">
        <is>
          <t>LKT. 2026-05 -PL862</t>
        </is>
      </c>
      <c r="F233" s="38" t="inlineStr">
        <is>
          <t>11 พฤษภาคม 2026</t>
        </is>
      </c>
      <c r="G233" s="38" t="inlineStr">
        <is>
          <t>เสาไฟถนน</t>
        </is>
      </c>
      <c r="H233" s="40" t="inlineStr">
        <is>
          <t>Pole With Bracket 9M-T4-TR</t>
        </is>
      </c>
      <c r="I233" s="41" t="n">
        <v>805011.2</v>
      </c>
      <c r="J233" s="41" t="n">
        <v>56350.78</v>
      </c>
      <c r="K233" s="41" t="n">
        <v>861361.98</v>
      </c>
      <c r="L233" s="38" t="inlineStr">
        <is>
          <t>📋 ติดตาม</t>
        </is>
      </c>
      <c r="M233" s="38" t="inlineStr">
        <is>
          <t>กลาง</t>
        </is>
      </c>
      <c r="N233" s="38" t="n">
        <v>1</v>
      </c>
      <c r="O233" s="38" t="inlineStr">
        <is>
          <t>—</t>
        </is>
      </c>
      <c r="P233" s="38" t="n"/>
      <c r="Q233" s="38" t="n"/>
      <c r="R233" s="38" t="n"/>
      <c r="S233" s="38" t="n"/>
    </row>
    <row r="234" ht="15" customHeight="1">
      <c r="A234" s="38" t="inlineStr">
        <is>
          <t>PL863</t>
        </is>
      </c>
      <c r="B234" s="38" t="inlineStr">
        <is>
          <t>2026-05</t>
        </is>
      </c>
      <c r="C234" s="39" t="inlineStr">
        <is>
          <t>ไอริส โอยามะ  R01</t>
        </is>
      </c>
      <c r="D234" s="38" t="inlineStr">
        <is>
          <t>B2B อื่นๆ</t>
        </is>
      </c>
      <c r="E234" s="38" t="inlineStr">
        <is>
          <t>LKT. 2026-05 -PL863</t>
        </is>
      </c>
      <c r="F234" s="38" t="inlineStr">
        <is>
          <t>13 พฤษภาคม 2026</t>
        </is>
      </c>
      <c r="G234" s="38" t="inlineStr">
        <is>
          <t>High Mast</t>
        </is>
      </c>
      <c r="H234" s="40" t="inlineStr">
        <is>
          <t>High mast Pole 25 M วงแหวน 8 โคม เหล็ก 4.5,3.2 มม.</t>
        </is>
      </c>
      <c r="I234" s="41" t="n">
        <v>402740.8</v>
      </c>
      <c r="J234" s="41" t="n">
        <v>28191.86</v>
      </c>
      <c r="K234" s="41" t="n">
        <v>430932.66</v>
      </c>
      <c r="L234" s="38" t="inlineStr">
        <is>
          <t>📋 ติดตาม</t>
        </is>
      </c>
      <c r="M234" s="38" t="inlineStr">
        <is>
          <t>กลาง</t>
        </is>
      </c>
      <c r="N234" s="38" t="n">
        <v>1</v>
      </c>
      <c r="O234" s="38" t="inlineStr">
        <is>
          <t>—</t>
        </is>
      </c>
      <c r="P234" s="38" t="n"/>
      <c r="Q234" s="38" t="n"/>
      <c r="R234" s="38" t="n"/>
      <c r="S234" s="38" t="n"/>
    </row>
    <row r="235" ht="15" customHeight="1">
      <c r="A235" s="38" t="inlineStr">
        <is>
          <t>PL864</t>
        </is>
      </c>
      <c r="B235" s="38" t="inlineStr">
        <is>
          <t>2026-05</t>
        </is>
      </c>
      <c r="C235" s="39" t="inlineStr">
        <is>
          <t>เค บี เอ็ม 15 ม.</t>
        </is>
      </c>
      <c r="D235" s="38" t="inlineStr">
        <is>
          <t>B2B อื่นๆ</t>
        </is>
      </c>
      <c r="E235" s="38" t="inlineStr">
        <is>
          <t>LKT. 2026-05 -PL850</t>
        </is>
      </c>
      <c r="F235" s="38" t="n"/>
      <c r="G235" s="38" t="inlineStr">
        <is>
          <t>High Mast</t>
        </is>
      </c>
      <c r="H235" s="40" t="inlineStr">
        <is>
          <t>High mast Pole 15 M วงแหวน 6โคม</t>
        </is>
      </c>
      <c r="I235" s="41" t="n">
        <v>330064</v>
      </c>
      <c r="J235" s="41" t="n">
        <v>23104.48</v>
      </c>
      <c r="K235" s="41" t="n">
        <v>353168.48</v>
      </c>
      <c r="L235" s="38" t="inlineStr">
        <is>
          <t>📋 ติดตาม</t>
        </is>
      </c>
      <c r="M235" s="38" t="inlineStr">
        <is>
          <t>กลาง</t>
        </is>
      </c>
      <c r="N235" s="38" t="n">
        <v>1</v>
      </c>
      <c r="O235" s="38" t="inlineStr">
        <is>
          <t>อปท. Supply</t>
        </is>
      </c>
      <c r="P235" s="38" t="n"/>
      <c r="Q235" s="38" t="n"/>
      <c r="R235" s="38" t="n"/>
      <c r="S235" s="38" t="n"/>
    </row>
    <row r="236" ht="15" customHeight="1">
      <c r="A236" s="46" t="inlineStr">
        <is>
          <t>PL865</t>
        </is>
      </c>
      <c r="B236" s="46" t="inlineStr">
        <is>
          <t>2026-05</t>
        </is>
      </c>
      <c r="C236" s="47" t="inlineStr">
        <is>
          <t>นพพร สุมงคล  2.5</t>
        </is>
      </c>
      <c r="D236" s="46" t="inlineStr">
        <is>
          <t>B2B อื่นๆ</t>
        </is>
      </c>
      <c r="E236" s="46" t="inlineStr">
        <is>
          <t>LKT. 2026-05-PL865</t>
        </is>
      </c>
      <c r="F236" s="46" t="inlineStr">
        <is>
          <t>12 พฤษภาคม 2026</t>
        </is>
      </c>
      <c r="G236" s="46" t="inlineStr">
        <is>
          <t>Guard Rail / การ์ดเรล</t>
        </is>
      </c>
      <c r="H236" s="48" t="inlineStr">
        <is>
          <t>เสาการดเรล OD100 H2.0M</t>
        </is>
      </c>
      <c r="I236" s="49" t="n">
        <v>190686.44</v>
      </c>
      <c r="J236" s="49" t="n">
        <v>13348.05</v>
      </c>
      <c r="K236" s="49" t="n">
        <v>204034.49</v>
      </c>
      <c r="L236" s="46" t="inlineStr">
        <is>
          <t>⚪ รอผล</t>
        </is>
      </c>
      <c r="M236" s="46" t="inlineStr">
        <is>
          <t>ต่ำ</t>
        </is>
      </c>
      <c r="N236" s="46" t="n">
        <v>1</v>
      </c>
      <c r="O236" s="46" t="inlineStr">
        <is>
          <t>—</t>
        </is>
      </c>
      <c r="P236" s="46" t="n"/>
      <c r="Q236" s="46" t="n"/>
      <c r="R236" s="46" t="n"/>
      <c r="S236" s="46" t="n"/>
    </row>
    <row r="237" ht="15" customHeight="1">
      <c r="A237" s="46" t="inlineStr">
        <is>
          <t>PL866</t>
        </is>
      </c>
      <c r="B237" s="46" t="inlineStr">
        <is>
          <t>2026-05</t>
        </is>
      </c>
      <c r="C237" s="47" t="inlineStr">
        <is>
          <t>ไทยเค โกลบอล</t>
        </is>
      </c>
      <c r="D237" s="46" t="inlineStr">
        <is>
          <t>B2B อื่นๆ</t>
        </is>
      </c>
      <c r="E237" s="46" t="inlineStr">
        <is>
          <t>LKT. 2026-05 -PL866</t>
        </is>
      </c>
      <c r="F237" s="46" t="inlineStr">
        <is>
          <t>12 พฤษภาคม 2026</t>
        </is>
      </c>
      <c r="G237" s="46" t="inlineStr">
        <is>
          <t>High Mast</t>
        </is>
      </c>
      <c r="H237" s="48" t="inlineStr">
        <is>
          <t>High mast Pole 15 M วงแหวน 4 โคม เหล็ก 4.5 มม.</t>
        </is>
      </c>
      <c r="I237" s="49" t="n">
        <v>276752</v>
      </c>
      <c r="J237" s="49" t="n">
        <v>19372.64</v>
      </c>
      <c r="K237" s="49" t="n">
        <v>296124.64</v>
      </c>
      <c r="L237" s="46" t="inlineStr">
        <is>
          <t>⚪ รอผล</t>
        </is>
      </c>
      <c r="M237" s="46" t="inlineStr">
        <is>
          <t>ต่ำ</t>
        </is>
      </c>
      <c r="N237" s="46" t="n">
        <v>1</v>
      </c>
      <c r="O237" s="46" t="inlineStr">
        <is>
          <t>—</t>
        </is>
      </c>
      <c r="P237" s="46" t="n"/>
      <c r="Q237" s="46" t="n"/>
      <c r="R237" s="46" t="n"/>
      <c r="S237" s="46" t="n"/>
    </row>
    <row r="238" ht="15" customHeight="1">
      <c r="A238" s="46" t="inlineStr">
        <is>
          <t>PL867</t>
        </is>
      </c>
      <c r="B238" s="46" t="inlineStr">
        <is>
          <t>2026-05</t>
        </is>
      </c>
      <c r="C238" s="47" t="inlineStr">
        <is>
          <t>เค เอ็น อาร์</t>
        </is>
      </c>
      <c r="D238" s="46" t="inlineStr">
        <is>
          <t>B2B อื่นๆ</t>
        </is>
      </c>
      <c r="E238" s="46" t="inlineStr">
        <is>
          <t>LKT. 2026-05 -PL867</t>
        </is>
      </c>
      <c r="F238" s="46" t="inlineStr">
        <is>
          <t>12 พฤษภาคม 2026</t>
        </is>
      </c>
      <c r="G238" s="46" t="inlineStr">
        <is>
          <t>เสาไฟถนน</t>
        </is>
      </c>
      <c r="H238" s="48" t="inlineStr">
        <is>
          <t>POLE WITH BRACKET 10M+Arm Bracket OD60.5 H1.3M L1.5M</t>
        </is>
      </c>
      <c r="I238" s="49" t="n">
        <v>14337.4</v>
      </c>
      <c r="J238" s="49" t="n">
        <v>1003.62</v>
      </c>
      <c r="K238" s="49" t="n">
        <v>15341.02</v>
      </c>
      <c r="L238" s="46" t="inlineStr">
        <is>
          <t>⚪ รอผล</t>
        </is>
      </c>
      <c r="M238" s="46" t="inlineStr">
        <is>
          <t>ต่ำ</t>
        </is>
      </c>
      <c r="N238" s="46" t="n">
        <v>1</v>
      </c>
      <c r="O238" s="46" t="inlineStr">
        <is>
          <t>—</t>
        </is>
      </c>
      <c r="P238" s="46" t="n"/>
      <c r="Q238" s="46" t="n"/>
      <c r="R238" s="46" t="n"/>
      <c r="S238" s="46" t="n"/>
    </row>
    <row r="239" ht="15" customHeight="1">
      <c r="A239" s="46" t="inlineStr">
        <is>
          <t>PL868</t>
        </is>
      </c>
      <c r="B239" s="46" t="inlineStr">
        <is>
          <t>2026-05</t>
        </is>
      </c>
      <c r="C239" s="47" t="inlineStr">
        <is>
          <t>บริษัท คาร์นิวาล จำกัด -FLOOD800W</t>
        </is>
      </c>
      <c r="D239" s="46" t="inlineStr">
        <is>
          <t>B2B บริษัท</t>
        </is>
      </c>
      <c r="E239" s="46" t="inlineStr">
        <is>
          <t>LKT. 2026-05 -PL867</t>
        </is>
      </c>
      <c r="F239" s="46" t="inlineStr">
        <is>
          <t>13 พฤษภาคม 2026</t>
        </is>
      </c>
      <c r="G239" s="46" t="inlineStr">
        <is>
          <t>อื่นๆ</t>
        </is>
      </c>
      <c r="H239" s="48" t="inlineStr">
        <is>
          <t>อื่นๆ</t>
        </is>
      </c>
      <c r="I239" s="49" t="n">
        <v>24990</v>
      </c>
      <c r="J239" s="49" t="n">
        <v>1749.3</v>
      </c>
      <c r="K239" s="49" t="n">
        <v>26739.3</v>
      </c>
      <c r="L239" s="46" t="inlineStr">
        <is>
          <t>⚪ รอผล</t>
        </is>
      </c>
      <c r="M239" s="46" t="inlineStr">
        <is>
          <t>ต่ำ</t>
        </is>
      </c>
      <c r="N239" s="46" t="n">
        <v>0</v>
      </c>
      <c r="O239" s="46" t="inlineStr">
        <is>
          <t>—</t>
        </is>
      </c>
      <c r="P239" s="46" t="n"/>
      <c r="Q239" s="46" t="n"/>
      <c r="R239" s="46" t="n"/>
      <c r="S239" s="46" t="n"/>
    </row>
    <row r="240" ht="15" customHeight="1">
      <c r="A240" s="38" t="inlineStr">
        <is>
          <t>PL869</t>
        </is>
      </c>
      <c r="B240" s="38" t="inlineStr">
        <is>
          <t>2026-05</t>
        </is>
      </c>
      <c r="C240" s="39" t="n"/>
      <c r="D240" s="38" t="inlineStr">
        <is>
          <t>B2B อื่นๆ</t>
        </is>
      </c>
      <c r="E240" s="38" t="inlineStr">
        <is>
          <t>LKT. 2026-05 -PL862</t>
        </is>
      </c>
      <c r="F240" s="38" t="inlineStr">
        <is>
          <t>11 พฤษภาคม 2026</t>
        </is>
      </c>
      <c r="G240" s="38" t="inlineStr">
        <is>
          <t>เสาไฟถนน</t>
        </is>
      </c>
      <c r="H240" s="40" t="inlineStr">
        <is>
          <t>Pole With Bracket 9M-T4-TR</t>
        </is>
      </c>
      <c r="I240" s="41" t="n">
        <v>805011.2</v>
      </c>
      <c r="J240" s="41" t="n">
        <v>56350.78</v>
      </c>
      <c r="K240" s="41" t="n">
        <v>861361.98</v>
      </c>
      <c r="L240" s="38" t="inlineStr">
        <is>
          <t>📋 ติดตาม</t>
        </is>
      </c>
      <c r="M240" s="38" t="inlineStr">
        <is>
          <t>กลาง</t>
        </is>
      </c>
      <c r="N240" s="38" t="n">
        <v>1</v>
      </c>
      <c r="O240" s="38" t="inlineStr">
        <is>
          <t>—</t>
        </is>
      </c>
      <c r="P240" s="38" t="n"/>
      <c r="Q240" s="38" t="n"/>
      <c r="R240" s="38" t="n"/>
      <c r="S240" s="38" t="n"/>
    </row>
    <row r="241" ht="15" customHeight="1">
      <c r="A241" s="46" t="inlineStr">
        <is>
          <t>PL870</t>
        </is>
      </c>
      <c r="B241" s="46" t="inlineStr">
        <is>
          <t>2026-05</t>
        </is>
      </c>
      <c r="C241" s="47" t="inlineStr">
        <is>
          <t>หจก.  ไทยสวงนอุทุมพรก่อสร้าง</t>
        </is>
      </c>
      <c r="D241" s="46" t="inlineStr">
        <is>
          <t>B2B หจก.</t>
        </is>
      </c>
      <c r="E241" s="46" t="inlineStr">
        <is>
          <t>LKT. 2026-05 -PL870</t>
        </is>
      </c>
      <c r="F241" s="46" t="inlineStr">
        <is>
          <t>13 พฤษภาคม 2026</t>
        </is>
      </c>
      <c r="G241" s="46" t="inlineStr">
        <is>
          <t>เสาไฟถนน</t>
        </is>
      </c>
      <c r="H241" s="48" t="inlineStr">
        <is>
          <t>Pole With Bracket 6M-T4-TR</t>
        </is>
      </c>
      <c r="I241" s="49" t="n">
        <v>169000</v>
      </c>
      <c r="J241" s="49" t="n">
        <v>11830</v>
      </c>
      <c r="K241" s="49" t="n">
        <v>180830</v>
      </c>
      <c r="L241" s="46" t="inlineStr">
        <is>
          <t>⚪ รอผล</t>
        </is>
      </c>
      <c r="M241" s="46" t="inlineStr">
        <is>
          <t>ต่ำ</t>
        </is>
      </c>
      <c r="N241" s="46" t="n">
        <v>1</v>
      </c>
      <c r="O241" s="46" t="inlineStr">
        <is>
          <t>—</t>
        </is>
      </c>
      <c r="P241" s="46" t="n"/>
      <c r="Q241" s="46" t="n"/>
      <c r="R241" s="46" t="n"/>
      <c r="S241" s="46" t="n"/>
    </row>
    <row r="242" ht="15" customHeight="1">
      <c r="A242" s="38" t="inlineStr">
        <is>
          <t>PL871</t>
        </is>
      </c>
      <c r="B242" s="38" t="inlineStr">
        <is>
          <t>2026-05</t>
        </is>
      </c>
      <c r="C242" s="39" t="inlineStr">
        <is>
          <t>สมบูรณ์อิเลคทริค หนองบัวลำภู</t>
        </is>
      </c>
      <c r="D242" s="38" t="inlineStr">
        <is>
          <t>B2B อื่นๆ</t>
        </is>
      </c>
      <c r="E242" s="38" t="inlineStr">
        <is>
          <t>LKT. 2026-05-869</t>
        </is>
      </c>
      <c r="F242" s="38" t="inlineStr">
        <is>
          <t>13 พฤษภาคม 2026</t>
        </is>
      </c>
      <c r="G242" s="38" t="inlineStr">
        <is>
          <t>Guard Rail / การ์ดเรล</t>
        </is>
      </c>
      <c r="H242" s="40" t="inlineStr">
        <is>
          <t>ชุดวายริ่งสายไฟเขา 6 ดวงโคม</t>
        </is>
      </c>
      <c r="I242" s="41" t="n">
        <v>299684</v>
      </c>
      <c r="J242" s="41" t="n">
        <v>20977.88</v>
      </c>
      <c r="K242" s="41" t="n">
        <v>320661.88</v>
      </c>
      <c r="L242" s="38" t="inlineStr">
        <is>
          <t>📋 ติดตาม</t>
        </is>
      </c>
      <c r="M242" s="38" t="inlineStr">
        <is>
          <t>กลาง</t>
        </is>
      </c>
      <c r="N242" s="38" t="n">
        <v>1</v>
      </c>
      <c r="O242" s="38" t="inlineStr">
        <is>
          <t>—</t>
        </is>
      </c>
      <c r="P242" s="38" t="n"/>
      <c r="Q242" s="38" t="n"/>
      <c r="R242" s="38" t="n"/>
      <c r="S242" s="38" t="n"/>
    </row>
    <row r="243" ht="15" customHeight="1">
      <c r="A243" s="46" t="inlineStr">
        <is>
          <t>PL872</t>
        </is>
      </c>
      <c r="B243" s="46" t="inlineStr">
        <is>
          <t>2026-05</t>
        </is>
      </c>
      <c r="C243" s="47" t="inlineStr">
        <is>
          <t>นภสินธุ์ทรัพย์มั่นคง</t>
        </is>
      </c>
      <c r="D243" s="46" t="inlineStr">
        <is>
          <t>B2B อื่นๆ</t>
        </is>
      </c>
      <c r="E243" s="46" t="n"/>
      <c r="F243" s="46" t="inlineStr">
        <is>
          <t>14 พฤษภาคม 2026</t>
        </is>
      </c>
      <c r="G243" s="46" t="inlineStr">
        <is>
          <t>อื่นๆ</t>
        </is>
      </c>
      <c r="H243" s="48" t="inlineStr">
        <is>
          <t>อื่นๆ</t>
        </is>
      </c>
      <c r="I243" s="49" t="n">
        <v>9329.6</v>
      </c>
      <c r="J243" s="49" t="n">
        <v>653.0700000000001</v>
      </c>
      <c r="K243" s="49" t="n">
        <v>9982.67</v>
      </c>
      <c r="L243" s="46" t="inlineStr">
        <is>
          <t>⚪ รอผล</t>
        </is>
      </c>
      <c r="M243" s="46" t="inlineStr">
        <is>
          <t>ต่ำ</t>
        </is>
      </c>
      <c r="N243" s="46" t="n">
        <v>0</v>
      </c>
      <c r="O243" s="46" t="inlineStr">
        <is>
          <t>—</t>
        </is>
      </c>
      <c r="P243" s="46" t="n"/>
      <c r="Q243" s="46" t="n"/>
      <c r="R243" s="46" t="n"/>
      <c r="S243" s="46" t="n"/>
    </row>
    <row r="244" ht="15" customHeight="1">
      <c r="A244" s="46" t="inlineStr">
        <is>
          <t>PL873</t>
        </is>
      </c>
      <c r="B244" s="46" t="inlineStr">
        <is>
          <t>2026-05</t>
        </is>
      </c>
      <c r="C244" s="47" t="inlineStr">
        <is>
          <t>อบต. เกาะกูด</t>
        </is>
      </c>
      <c r="D244" s="46" t="inlineStr">
        <is>
          <t>B2G อปท.</t>
        </is>
      </c>
      <c r="E244" s="46" t="inlineStr">
        <is>
          <t>LKT. 2026-05-873</t>
        </is>
      </c>
      <c r="F244" s="46" t="inlineStr">
        <is>
          <t>19 พฤษภาคม 2026</t>
        </is>
      </c>
      <c r="G244" s="46" t="inlineStr">
        <is>
          <t>เสาไฟถนน</t>
        </is>
      </c>
      <c r="H244" s="48" t="inlineStr">
        <is>
          <t>เสาการดเรล OD100 H2.0M</t>
        </is>
      </c>
      <c r="I244" s="49" t="n">
        <v>117538.26</v>
      </c>
      <c r="J244" s="49" t="n">
        <v>8227.68</v>
      </c>
      <c r="K244" s="49" t="n">
        <v>125765.94</v>
      </c>
      <c r="L244" s="46" t="inlineStr">
        <is>
          <t>⚪ รอผล</t>
        </is>
      </c>
      <c r="M244" s="46" t="inlineStr">
        <is>
          <t>ต่ำ</t>
        </is>
      </c>
      <c r="N244" s="46" t="n">
        <v>1</v>
      </c>
      <c r="O244" s="46" t="inlineStr">
        <is>
          <t>—</t>
        </is>
      </c>
      <c r="P244" s="46" t="n"/>
      <c r="Q244" s="46" t="n"/>
      <c r="R244" s="46" t="n"/>
      <c r="S244" s="46" t="n"/>
    </row>
    <row r="245" ht="15" customHeight="1">
      <c r="A245" s="50" t="inlineStr">
        <is>
          <t>PL874</t>
        </is>
      </c>
      <c r="B245" s="50" t="inlineStr">
        <is>
          <t>2026-05</t>
        </is>
      </c>
      <c r="C245" s="51" t="inlineStr">
        <is>
          <t>ห้างหุ้นส่วนจำกัด สมบูรณ์อิเล็กทริค หนองบัวลำภู</t>
        </is>
      </c>
      <c r="D245" s="50" t="inlineStr">
        <is>
          <t>B2B หจก.</t>
        </is>
      </c>
      <c r="E245" s="50" t="inlineStr">
        <is>
          <t>LKT. 2026-05-869</t>
        </is>
      </c>
      <c r="F245" s="50" t="inlineStr">
        <is>
          <t>13 พฤษภาคม 2026</t>
        </is>
      </c>
      <c r="G245" s="50" t="inlineStr">
        <is>
          <t>Guard Rail / การ์ดเรล</t>
        </is>
      </c>
      <c r="H245" s="52" t="inlineStr">
        <is>
          <t>เสาการดเรล OD100 H2.0M</t>
        </is>
      </c>
      <c r="I245" s="53" t="n">
        <v>6406701</v>
      </c>
      <c r="J245" s="53" t="n">
        <v>448469.07</v>
      </c>
      <c r="K245" s="53" t="n">
        <v>6855170.07</v>
      </c>
      <c r="L245" s="50" t="inlineStr">
        <is>
          <t>🔥 ร้อน</t>
        </is>
      </c>
      <c r="M245" s="50" t="inlineStr">
        <is>
          <t>สูงมาก</t>
        </is>
      </c>
      <c r="N245" s="50" t="n">
        <v>1</v>
      </c>
      <c r="O245" s="50" t="inlineStr">
        <is>
          <t>—</t>
        </is>
      </c>
      <c r="P245" s="50" t="n"/>
      <c r="Q245" s="50" t="n"/>
      <c r="R245" s="50" t="n"/>
      <c r="S245" s="50" t="n"/>
    </row>
    <row r="246" ht="15" customHeight="1">
      <c r="A246" s="42" t="inlineStr">
        <is>
          <t>PL875</t>
        </is>
      </c>
      <c r="B246" s="42" t="inlineStr">
        <is>
          <t>2026-05</t>
        </is>
      </c>
      <c r="C246" s="43" t="inlineStr">
        <is>
          <t>บริษัท โกลว์ พาวเวอร์ เทคโนโลยี จำกัด</t>
        </is>
      </c>
      <c r="D246" s="42" t="inlineStr">
        <is>
          <t>B2B บริษัท</t>
        </is>
      </c>
      <c r="E246" s="42" t="inlineStr">
        <is>
          <t>LKT. 2026-05-PL875</t>
        </is>
      </c>
      <c r="F246" s="42" t="inlineStr">
        <is>
          <t>18 พฤษภาคม 2026</t>
        </is>
      </c>
      <c r="G246" s="42" t="inlineStr">
        <is>
          <t>เสาไฟถนน</t>
        </is>
      </c>
      <c r="H246" s="44" t="inlineStr">
        <is>
          <t>อื่นๆ</t>
        </is>
      </c>
      <c r="I246" s="45" t="n">
        <v>1218700</v>
      </c>
      <c r="J246" s="45" t="n">
        <v>85309</v>
      </c>
      <c r="K246" s="45" t="n">
        <v>1304009</v>
      </c>
      <c r="L246" s="42" t="inlineStr">
        <is>
          <t>📞 ติดตาม-High</t>
        </is>
      </c>
      <c r="M246" s="42" t="inlineStr">
        <is>
          <t>สูง</t>
        </is>
      </c>
      <c r="N246" s="42" t="n">
        <v>0</v>
      </c>
      <c r="O246" s="42" t="inlineStr">
        <is>
          <t>EGAT</t>
        </is>
      </c>
      <c r="P246" s="42" t="n"/>
      <c r="Q246" s="42" t="n"/>
      <c r="R246" s="42" t="n"/>
      <c r="S246" s="42" t="n"/>
    </row>
    <row r="247" ht="15" customHeight="1">
      <c r="A247" s="46" t="inlineStr">
        <is>
          <t>PL876</t>
        </is>
      </c>
      <c r="B247" s="46" t="inlineStr">
        <is>
          <t>2026-05</t>
        </is>
      </c>
      <c r="C247" s="47" t="inlineStr">
        <is>
          <t>พี เอ็น จี</t>
        </is>
      </c>
      <c r="D247" s="46" t="inlineStr">
        <is>
          <t>B2B อื่นๆ</t>
        </is>
      </c>
      <c r="E247" s="46" t="inlineStr">
        <is>
          <t>LKT. 2026-05-876</t>
        </is>
      </c>
      <c r="F247" s="46" t="inlineStr">
        <is>
          <t>18 พฤษภาคม 2026</t>
        </is>
      </c>
      <c r="G247" s="46" t="inlineStr">
        <is>
          <t>เสาไฟถนน</t>
        </is>
      </c>
      <c r="H247" s="48" t="inlineStr">
        <is>
          <t>Post Top Pole 7M-T4-TR</t>
        </is>
      </c>
      <c r="I247" s="49" t="n">
        <v>7908.6</v>
      </c>
      <c r="J247" s="49" t="n">
        <v>553.6</v>
      </c>
      <c r="K247" s="49" t="n">
        <v>8462.200000000001</v>
      </c>
      <c r="L247" s="46" t="inlineStr">
        <is>
          <t>⚪ รอผล</t>
        </is>
      </c>
      <c r="M247" s="46" t="inlineStr">
        <is>
          <t>ต่ำ</t>
        </is>
      </c>
      <c r="N247" s="46" t="n">
        <v>1</v>
      </c>
      <c r="O247" s="46" t="inlineStr">
        <is>
          <t>—</t>
        </is>
      </c>
      <c r="P247" s="46" t="n"/>
      <c r="Q247" s="46" t="n"/>
      <c r="R247" s="46" t="n"/>
      <c r="S247" s="46" t="n"/>
    </row>
    <row r="248" ht="15" customHeight="1">
      <c r="A248" s="38" t="inlineStr">
        <is>
          <t>PL877</t>
        </is>
      </c>
      <c r="B248" s="38" t="inlineStr">
        <is>
          <t>2026-05</t>
        </is>
      </c>
      <c r="C248" s="39" t="inlineStr">
        <is>
          <t>แสงนิยม</t>
        </is>
      </c>
      <c r="D248" s="38" t="inlineStr">
        <is>
          <t>B2B อื่นๆ</t>
        </is>
      </c>
      <c r="E248" s="38" t="inlineStr">
        <is>
          <t>LKT. 2026-05-877</t>
        </is>
      </c>
      <c r="F248" s="38" t="inlineStr">
        <is>
          <t>19 พฤษภาคม 2026</t>
        </is>
      </c>
      <c r="G248" s="38" t="inlineStr">
        <is>
          <t>เสาไฟถนน</t>
        </is>
      </c>
      <c r="H248" s="40" t="inlineStr">
        <is>
          <t>Post Top Pole 3 M</t>
        </is>
      </c>
      <c r="I248" s="41" t="n">
        <v>860440</v>
      </c>
      <c r="J248" s="41" t="n">
        <v>60230.8</v>
      </c>
      <c r="K248" s="41" t="n">
        <v>920670.8</v>
      </c>
      <c r="L248" s="38" t="inlineStr">
        <is>
          <t>📋 ติดตาม</t>
        </is>
      </c>
      <c r="M248" s="38" t="inlineStr">
        <is>
          <t>กลาง</t>
        </is>
      </c>
      <c r="N248" s="38" t="n">
        <v>1</v>
      </c>
      <c r="O248" s="38" t="inlineStr">
        <is>
          <t>—</t>
        </is>
      </c>
      <c r="P248" s="38" t="n"/>
      <c r="Q248" s="38" t="n"/>
      <c r="R248" s="38" t="n"/>
      <c r="S248" s="38" t="n"/>
    </row>
    <row r="249" ht="15" customHeight="1">
      <c r="A249" s="46" t="inlineStr">
        <is>
          <t>PL878</t>
        </is>
      </c>
      <c r="B249" s="46" t="inlineStr">
        <is>
          <t>2026-05</t>
        </is>
      </c>
      <c r="C249" s="47" t="inlineStr">
        <is>
          <t>โชคเพิ่มพูน</t>
        </is>
      </c>
      <c r="D249" s="46" t="inlineStr">
        <is>
          <t>B2B อื่นๆ</t>
        </is>
      </c>
      <c r="E249" s="46" t="inlineStr">
        <is>
          <t>LKT. 2026-05 -PL878</t>
        </is>
      </c>
      <c r="F249" s="46" t="inlineStr">
        <is>
          <t>20 พฤษภาคม 2026</t>
        </is>
      </c>
      <c r="G249" s="46" t="inlineStr">
        <is>
          <t>High Mast</t>
        </is>
      </c>
      <c r="H249" s="48" t="inlineStr">
        <is>
          <t>High mast Pole 15 M วงแหวน 8 โคม เหล็ก 4.5 มม.</t>
        </is>
      </c>
      <c r="I249" s="49" t="n">
        <v>221186</v>
      </c>
      <c r="J249" s="49" t="n">
        <v>15483.02</v>
      </c>
      <c r="K249" s="49" t="n">
        <v>236669.02</v>
      </c>
      <c r="L249" s="46" t="inlineStr">
        <is>
          <t>⚪ รอผล</t>
        </is>
      </c>
      <c r="M249" s="46" t="inlineStr">
        <is>
          <t>ต่ำ</t>
        </is>
      </c>
      <c r="N249" s="46" t="n">
        <v>1</v>
      </c>
      <c r="O249" s="46" t="inlineStr">
        <is>
          <t>—</t>
        </is>
      </c>
      <c r="P249" s="46" t="n"/>
      <c r="Q249" s="46" t="n"/>
      <c r="R249" s="46" t="n"/>
      <c r="S249" s="46" t="n"/>
    </row>
    <row r="250" ht="15" customHeight="1">
      <c r="A250" s="46" t="inlineStr">
        <is>
          <t>PL879</t>
        </is>
      </c>
      <c r="B250" s="46" t="inlineStr">
        <is>
          <t>2026-05</t>
        </is>
      </c>
      <c r="C250" s="47" t="inlineStr">
        <is>
          <t>วิภาสกฤต บำรุงพืช</t>
        </is>
      </c>
      <c r="D250" s="46" t="inlineStr">
        <is>
          <t>B2B อื่นๆ</t>
        </is>
      </c>
      <c r="E250" s="46" t="inlineStr">
        <is>
          <t>LKT. 2026-05-PL879</t>
        </is>
      </c>
      <c r="F250" s="46" t="inlineStr">
        <is>
          <t>19 พฤษภาคม 2026</t>
        </is>
      </c>
      <c r="G250" s="46" t="inlineStr">
        <is>
          <t>Guard Rail / การ์ดเรล</t>
        </is>
      </c>
      <c r="H250" s="48" t="inlineStr">
        <is>
          <t>เสาการดเรล OD100 H2.0M</t>
        </is>
      </c>
      <c r="I250" s="49" t="n">
        <v>178626.56</v>
      </c>
      <c r="J250" s="49" t="n">
        <v>12503.86</v>
      </c>
      <c r="K250" s="49" t="n">
        <v>191130.42</v>
      </c>
      <c r="L250" s="46" t="inlineStr">
        <is>
          <t>⚪ รอผล</t>
        </is>
      </c>
      <c r="M250" s="46" t="inlineStr">
        <is>
          <t>ต่ำ</t>
        </is>
      </c>
      <c r="N250" s="46" t="n">
        <v>1</v>
      </c>
      <c r="O250" s="46" t="inlineStr">
        <is>
          <t>—</t>
        </is>
      </c>
      <c r="P250" s="46" t="n"/>
      <c r="Q250" s="46" t="n"/>
      <c r="R250" s="46" t="n"/>
      <c r="S250" s="46" t="n"/>
    </row>
    <row r="251" ht="15" customHeight="1">
      <c r="A251" s="38" t="inlineStr">
        <is>
          <t>PL880</t>
        </is>
      </c>
      <c r="B251" s="38" t="inlineStr">
        <is>
          <t>2026-05</t>
        </is>
      </c>
      <c r="C251" s="39" t="inlineStr">
        <is>
          <t>ณัชนันท์ พีเอ</t>
        </is>
      </c>
      <c r="D251" s="38" t="inlineStr">
        <is>
          <t>B2B อื่นๆ</t>
        </is>
      </c>
      <c r="E251" s="38" t="inlineStr">
        <is>
          <t>LKT. 2026-05 -PL880</t>
        </is>
      </c>
      <c r="F251" s="38" t="inlineStr">
        <is>
          <t>21 พฤษภาคม 2026</t>
        </is>
      </c>
      <c r="G251" s="38" t="inlineStr">
        <is>
          <t>เสาไฟถนน</t>
        </is>
      </c>
      <c r="H251" s="40" t="inlineStr">
        <is>
          <t>ชุดวายริ่งสายไฟ 6 ดวงโคม (สายไฟVCT-G 2-1x2.5 sqmm)</t>
        </is>
      </c>
      <c r="I251" s="41" t="n">
        <v>656600</v>
      </c>
      <c r="J251" s="41" t="n">
        <v>45962</v>
      </c>
      <c r="K251" s="41" t="n">
        <v>702562</v>
      </c>
      <c r="L251" s="38" t="inlineStr">
        <is>
          <t>📋 ติดตาม</t>
        </is>
      </c>
      <c r="M251" s="38" t="inlineStr">
        <is>
          <t>กลาง</t>
        </is>
      </c>
      <c r="N251" s="38" t="n">
        <v>1</v>
      </c>
      <c r="O251" s="38" t="inlineStr">
        <is>
          <t>—</t>
        </is>
      </c>
      <c r="P251" s="38" t="n"/>
      <c r="Q251" s="38" t="n"/>
      <c r="R251" s="38" t="n"/>
      <c r="S251" s="38" t="n"/>
    </row>
    <row r="252" ht="15" customHeight="1">
      <c r="A252" s="38" t="inlineStr">
        <is>
          <t>PL881</t>
        </is>
      </c>
      <c r="B252" s="38" t="inlineStr">
        <is>
          <t>2026-05</t>
        </is>
      </c>
      <c r="C252" s="39" t="inlineStr">
        <is>
          <t>ส่องกิจก่อสร้าง  3.2</t>
        </is>
      </c>
      <c r="D252" s="38" t="inlineStr">
        <is>
          <t>B2B อื่นๆ</t>
        </is>
      </c>
      <c r="E252" s="38" t="inlineStr">
        <is>
          <t>LKT. 2026-05-PL881</t>
        </is>
      </c>
      <c r="F252" s="38" t="inlineStr">
        <is>
          <t>19 พฤษภาคม 2026</t>
        </is>
      </c>
      <c r="G252" s="38" t="inlineStr">
        <is>
          <t>Guard Rail / การ์ดเรล</t>
        </is>
      </c>
      <c r="H252" s="40" t="inlineStr">
        <is>
          <t>เสาการดเรล OD100 H2.0M</t>
        </is>
      </c>
      <c r="I252" s="41" t="n">
        <v>522547.76</v>
      </c>
      <c r="J252" s="41" t="n">
        <v>36578.34</v>
      </c>
      <c r="K252" s="41" t="n">
        <v>559126.1</v>
      </c>
      <c r="L252" s="38" t="inlineStr">
        <is>
          <t>📋 ติดตาม</t>
        </is>
      </c>
      <c r="M252" s="38" t="inlineStr">
        <is>
          <t>กลาง</t>
        </is>
      </c>
      <c r="N252" s="38" t="n">
        <v>1</v>
      </c>
      <c r="O252" s="38" t="inlineStr">
        <is>
          <t>—</t>
        </is>
      </c>
      <c r="P252" s="38" t="n"/>
      <c r="Q252" s="38" t="n"/>
      <c r="R252" s="38" t="n"/>
      <c r="S252" s="38" t="n"/>
    </row>
    <row r="253" ht="15" customHeight="1">
      <c r="A253" s="46" t="inlineStr">
        <is>
          <t>PL882</t>
        </is>
      </c>
      <c r="B253" s="46" t="inlineStr">
        <is>
          <t>2026-05</t>
        </is>
      </c>
      <c r="C253" s="47" t="inlineStr">
        <is>
          <t>พัฒนานุภาพก่อสร้าง</t>
        </is>
      </c>
      <c r="D253" s="46" t="inlineStr">
        <is>
          <t>B2B อื่นๆ</t>
        </is>
      </c>
      <c r="E253" s="46" t="inlineStr">
        <is>
          <t>LKT. 2026-05-PL882</t>
        </is>
      </c>
      <c r="F253" s="46" t="inlineStr">
        <is>
          <t>20 พฤษภาคม 2026</t>
        </is>
      </c>
      <c r="G253" s="46" t="inlineStr">
        <is>
          <t>เสาไฟถนน</t>
        </is>
      </c>
      <c r="H253" s="48" t="inlineStr">
        <is>
          <t>Pole With Bracket 6M-T4-TR</t>
        </is>
      </c>
      <c r="I253" s="49" t="n">
        <v>126352.38</v>
      </c>
      <c r="J253" s="49" t="n">
        <v>8844.67</v>
      </c>
      <c r="K253" s="49" t="n">
        <v>135197.05</v>
      </c>
      <c r="L253" s="46" t="inlineStr">
        <is>
          <t>⚪ รอผล</t>
        </is>
      </c>
      <c r="M253" s="46" t="inlineStr">
        <is>
          <t>ต่ำ</t>
        </is>
      </c>
      <c r="N253" s="46" t="n">
        <v>1</v>
      </c>
      <c r="O253" s="46" t="inlineStr">
        <is>
          <t>—</t>
        </is>
      </c>
      <c r="P253" s="46" t="n"/>
      <c r="Q253" s="46" t="n"/>
      <c r="R253" s="46" t="n"/>
      <c r="S253" s="46" t="n"/>
    </row>
    <row r="254" ht="15" customHeight="1">
      <c r="A254" s="46" t="inlineStr">
        <is>
          <t>PL883</t>
        </is>
      </c>
      <c r="B254" s="46" t="inlineStr">
        <is>
          <t>2026-05</t>
        </is>
      </c>
      <c r="C254" s="47" t="inlineStr">
        <is>
          <t>ซัน เอนจิเนียริ่ง</t>
        </is>
      </c>
      <c r="D254" s="46" t="inlineStr">
        <is>
          <t>B2B อื่นๆ</t>
        </is>
      </c>
      <c r="E254" s="46" t="inlineStr">
        <is>
          <t>LKT. 2026-05 -PL883</t>
        </is>
      </c>
      <c r="F254" s="46" t="inlineStr">
        <is>
          <t>20 พฤษภาคม 2026</t>
        </is>
      </c>
      <c r="G254" s="46" t="inlineStr">
        <is>
          <t>เสาไฟถนน</t>
        </is>
      </c>
      <c r="H254" s="48" t="inlineStr">
        <is>
          <t>Pole With Bracket 10M-T4-TR</t>
        </is>
      </c>
      <c r="I254" s="49" t="n">
        <v>41292.3</v>
      </c>
      <c r="J254" s="49" t="n">
        <v>2890.46</v>
      </c>
      <c r="K254" s="49" t="n">
        <v>44182.76</v>
      </c>
      <c r="L254" s="46" t="inlineStr">
        <is>
          <t>⚪ รอผล</t>
        </is>
      </c>
      <c r="M254" s="46" t="inlineStr">
        <is>
          <t>ต่ำ</t>
        </is>
      </c>
      <c r="N254" s="46" t="n">
        <v>1</v>
      </c>
      <c r="O254" s="46" t="inlineStr">
        <is>
          <t>—</t>
        </is>
      </c>
      <c r="P254" s="46" t="n"/>
      <c r="Q254" s="46" t="n"/>
      <c r="R254" s="46" t="n"/>
      <c r="S254" s="46" t="n"/>
    </row>
    <row r="255" ht="15" customHeight="1">
      <c r="A255" s="46" t="inlineStr">
        <is>
          <t>PL884</t>
        </is>
      </c>
      <c r="B255" s="46" t="inlineStr">
        <is>
          <t>2026-05</t>
        </is>
      </c>
      <c r="C255" s="47" t="inlineStr">
        <is>
          <t>สรรค์สร้างสุข</t>
        </is>
      </c>
      <c r="D255" s="46" t="inlineStr">
        <is>
          <t>B2B อื่นๆ</t>
        </is>
      </c>
      <c r="E255" s="46" t="inlineStr">
        <is>
          <t>LKT. 2026-05 -PL884</t>
        </is>
      </c>
      <c r="F255" s="46" t="inlineStr">
        <is>
          <t>25 พฤษภาคม 2026</t>
        </is>
      </c>
      <c r="G255" s="46" t="inlineStr">
        <is>
          <t>High Mast</t>
        </is>
      </c>
      <c r="H255" s="48" t="inlineStr">
        <is>
          <t>High mast Pole 20 M วงแหวน 8 โคม เหล็ก 4.5 มม.</t>
        </is>
      </c>
      <c r="I255" s="49" t="n">
        <v>175714</v>
      </c>
      <c r="J255" s="49" t="n">
        <v>12299.98</v>
      </c>
      <c r="K255" s="49" t="n">
        <v>188013.98</v>
      </c>
      <c r="L255" s="46" t="inlineStr">
        <is>
          <t>⚪ รอผล</t>
        </is>
      </c>
      <c r="M255" s="46" t="inlineStr">
        <is>
          <t>ต่ำ</t>
        </is>
      </c>
      <c r="N255" s="46" t="n">
        <v>1</v>
      </c>
      <c r="O255" s="46" t="inlineStr">
        <is>
          <t>—</t>
        </is>
      </c>
      <c r="P255" s="46" t="n"/>
      <c r="Q255" s="46" t="n"/>
      <c r="R255" s="46" t="n"/>
      <c r="S255" s="46" t="n"/>
    </row>
    <row r="256" ht="15" customHeight="1">
      <c r="A256" s="46" t="inlineStr">
        <is>
          <t>PL885</t>
        </is>
      </c>
      <c r="B256" s="46" t="inlineStr">
        <is>
          <t>2026-05</t>
        </is>
      </c>
      <c r="C256" s="47" t="inlineStr">
        <is>
          <t>เอส.เอส.ดี.อินเตอร์   2.5</t>
        </is>
      </c>
      <c r="D256" s="46" t="inlineStr">
        <is>
          <t>B2B อื่นๆ</t>
        </is>
      </c>
      <c r="E256" s="46" t="inlineStr">
        <is>
          <t>LKT. 2026-05-PL885</t>
        </is>
      </c>
      <c r="F256" s="46" t="inlineStr">
        <is>
          <t>21 พฤษภาคม 2026</t>
        </is>
      </c>
      <c r="G256" s="46" t="inlineStr">
        <is>
          <t>Guard Rail / การ์ดเรล</t>
        </is>
      </c>
      <c r="H256" s="48" t="inlineStr">
        <is>
          <t>เสาการดเรล OD100 H2.0M</t>
        </is>
      </c>
      <c r="I256" s="49" t="n">
        <v>43198.4</v>
      </c>
      <c r="J256" s="49" t="n">
        <v>3023.89</v>
      </c>
      <c r="K256" s="49" t="n">
        <v>46222.29</v>
      </c>
      <c r="L256" s="46" t="inlineStr">
        <is>
          <t>⚪ รอผล</t>
        </is>
      </c>
      <c r="M256" s="46" t="inlineStr">
        <is>
          <t>ต่ำ</t>
        </is>
      </c>
      <c r="N256" s="46" t="n">
        <v>1</v>
      </c>
      <c r="O256" s="46" t="inlineStr">
        <is>
          <t>—</t>
        </is>
      </c>
      <c r="P256" s="46" t="n"/>
      <c r="Q256" s="46" t="n"/>
      <c r="R256" s="46" t="n"/>
      <c r="S256" s="46" t="n"/>
    </row>
    <row r="257" ht="15" customHeight="1">
      <c r="A257" s="46" t="inlineStr">
        <is>
          <t>PL886</t>
        </is>
      </c>
      <c r="B257" s="46" t="inlineStr">
        <is>
          <t>2026-05</t>
        </is>
      </c>
      <c r="C257" s="47" t="inlineStr">
        <is>
          <t>เค บี เอ็ม</t>
        </is>
      </c>
      <c r="D257" s="46" t="inlineStr">
        <is>
          <t>B2B อื่นๆ</t>
        </is>
      </c>
      <c r="E257" s="46" t="inlineStr">
        <is>
          <t>LKT. 2026-05 -PL886</t>
        </is>
      </c>
      <c r="F257" s="46" t="n"/>
      <c r="G257" s="46" t="inlineStr">
        <is>
          <t>อื่นๆ</t>
        </is>
      </c>
      <c r="H257" s="48" t="inlineStr">
        <is>
          <t>อื่นๆ</t>
        </is>
      </c>
      <c r="I257" s="49" t="n">
        <v>70716.8</v>
      </c>
      <c r="J257" s="49" t="n">
        <v>4950.18</v>
      </c>
      <c r="K257" s="49" t="n">
        <v>75666.98</v>
      </c>
      <c r="L257" s="46" t="inlineStr">
        <is>
          <t>⚪ รอผล</t>
        </is>
      </c>
      <c r="M257" s="46" t="inlineStr">
        <is>
          <t>ต่ำ</t>
        </is>
      </c>
      <c r="N257" s="46" t="n">
        <v>0</v>
      </c>
      <c r="O257" s="46" t="inlineStr">
        <is>
          <t>อปท. Supply</t>
        </is>
      </c>
      <c r="P257" s="46" t="n"/>
      <c r="Q257" s="46" t="n"/>
      <c r="R257" s="46" t="n"/>
      <c r="S257" s="46" t="n"/>
    </row>
    <row r="258" ht="15" customHeight="1">
      <c r="A258" s="42" t="inlineStr">
        <is>
          <t>PL887</t>
        </is>
      </c>
      <c r="B258" s="42" t="inlineStr">
        <is>
          <t>2026-05</t>
        </is>
      </c>
      <c r="C258" s="43" t="inlineStr">
        <is>
          <t>บิว</t>
        </is>
      </c>
      <c r="D258" s="42" t="inlineStr">
        <is>
          <t>B2B อื่นๆ</t>
        </is>
      </c>
      <c r="E258" s="42" t="inlineStr">
        <is>
          <t>LKT. 2026-05-887</t>
        </is>
      </c>
      <c r="F258" s="42" t="inlineStr">
        <is>
          <t>21 พฤษภาคม 2026</t>
        </is>
      </c>
      <c r="G258" s="42" t="inlineStr">
        <is>
          <t>เสาไฟถนน</t>
        </is>
      </c>
      <c r="H258" s="44" t="inlineStr">
        <is>
          <t>Pole With Bracket 6M-T4-TR</t>
        </is>
      </c>
      <c r="I258" s="45" t="n">
        <v>1595224.4</v>
      </c>
      <c r="J258" s="45" t="n">
        <v>111665.71</v>
      </c>
      <c r="K258" s="45" t="n">
        <v>1706890.11</v>
      </c>
      <c r="L258" s="42" t="inlineStr">
        <is>
          <t>📞 ติดตาม-High</t>
        </is>
      </c>
      <c r="M258" s="42" t="inlineStr">
        <is>
          <t>สูง</t>
        </is>
      </c>
      <c r="N258" s="42" t="n">
        <v>1</v>
      </c>
      <c r="O258" s="42" t="inlineStr">
        <is>
          <t>—</t>
        </is>
      </c>
      <c r="P258" s="42" t="n"/>
      <c r="Q258" s="42" t="n"/>
      <c r="R258" s="42" t="n"/>
      <c r="S258" s="42" t="n"/>
    </row>
    <row r="259" ht="15" customHeight="1">
      <c r="A259" s="46" t="inlineStr">
        <is>
          <t>PL888</t>
        </is>
      </c>
      <c r="B259" s="46" t="inlineStr">
        <is>
          <t>2026-05</t>
        </is>
      </c>
      <c r="C259" s="47" t="inlineStr">
        <is>
          <t>วาย พี  สโตร์</t>
        </is>
      </c>
      <c r="D259" s="46" t="inlineStr">
        <is>
          <t>B2B อื่นๆ</t>
        </is>
      </c>
      <c r="E259" s="46" t="inlineStr">
        <is>
          <t>LKT. 2026-05-888</t>
        </is>
      </c>
      <c r="F259" s="46" t="inlineStr">
        <is>
          <t>21 พฤษภาคม 2026</t>
        </is>
      </c>
      <c r="G259" s="46" t="inlineStr">
        <is>
          <t>เสาไฟถนน</t>
        </is>
      </c>
      <c r="H259" s="48" t="inlineStr">
        <is>
          <t>Post Top Pole 6M-T4-TR</t>
        </is>
      </c>
      <c r="I259" s="49" t="n">
        <v>52753.4</v>
      </c>
      <c r="J259" s="49" t="n">
        <v>3692.74</v>
      </c>
      <c r="K259" s="49" t="n">
        <v>56446.14</v>
      </c>
      <c r="L259" s="46" t="inlineStr">
        <is>
          <t>⚪ รอผล</t>
        </is>
      </c>
      <c r="M259" s="46" t="inlineStr">
        <is>
          <t>ต่ำ</t>
        </is>
      </c>
      <c r="N259" s="46" t="n">
        <v>1</v>
      </c>
      <c r="O259" s="46" t="inlineStr">
        <is>
          <t>—</t>
        </is>
      </c>
      <c r="P259" s="46" t="n"/>
      <c r="Q259" s="46" t="n"/>
      <c r="R259" s="46" t="n"/>
      <c r="S259" s="46" t="n"/>
    </row>
    <row r="260" ht="15" customHeight="1">
      <c r="A260" s="46" t="inlineStr">
        <is>
          <t>PL889</t>
        </is>
      </c>
      <c r="B260" s="46" t="inlineStr">
        <is>
          <t>2026-05</t>
        </is>
      </c>
      <c r="C260" s="47" t="inlineStr">
        <is>
          <t>เอ็นแอนด์เอ็น อิเล็คทริคอล</t>
        </is>
      </c>
      <c r="D260" s="46" t="inlineStr">
        <is>
          <t>B2B อื่นๆ</t>
        </is>
      </c>
      <c r="E260" s="46" t="inlineStr">
        <is>
          <t>LKT. 2026-05-PL889</t>
        </is>
      </c>
      <c r="F260" s="46" t="inlineStr">
        <is>
          <t>21 พฤษภาคม 2026</t>
        </is>
      </c>
      <c r="G260" s="46" t="inlineStr">
        <is>
          <t>เสาไฟถนน</t>
        </is>
      </c>
      <c r="H260" s="48" t="inlineStr">
        <is>
          <t>Pole With Bracket 6M-T4-TR</t>
        </is>
      </c>
      <c r="I260" s="49" t="n">
        <v>93335.2</v>
      </c>
      <c r="J260" s="49" t="n">
        <v>6533.46</v>
      </c>
      <c r="K260" s="49" t="n">
        <v>99868.66</v>
      </c>
      <c r="L260" s="46" t="inlineStr">
        <is>
          <t>⚪ รอผล</t>
        </is>
      </c>
      <c r="M260" s="46" t="inlineStr">
        <is>
          <t>ต่ำ</t>
        </is>
      </c>
      <c r="N260" s="46" t="n">
        <v>1</v>
      </c>
      <c r="O260" s="46" t="inlineStr">
        <is>
          <t>—</t>
        </is>
      </c>
      <c r="P260" s="46" t="n"/>
      <c r="Q260" s="46" t="n"/>
      <c r="R260" s="46" t="n"/>
      <c r="S260" s="46" t="n"/>
    </row>
    <row r="261" ht="15" customHeight="1">
      <c r="A261" s="46" t="inlineStr">
        <is>
          <t>PL890</t>
        </is>
      </c>
      <c r="B261" s="46" t="inlineStr">
        <is>
          <t>2026-05</t>
        </is>
      </c>
      <c r="C261" s="47" t="inlineStr">
        <is>
          <t>แซนต้า เทคโนโลยี</t>
        </is>
      </c>
      <c r="D261" s="46" t="inlineStr">
        <is>
          <t>B2B อื่นๆ</t>
        </is>
      </c>
      <c r="E261" s="46" t="inlineStr">
        <is>
          <t>LKT. 2026-05-PL890</t>
        </is>
      </c>
      <c r="F261" s="46" t="inlineStr">
        <is>
          <t>21 พฤษภาคม 2026</t>
        </is>
      </c>
      <c r="G261" s="46" t="inlineStr">
        <is>
          <t>เสาไฟถนน</t>
        </is>
      </c>
      <c r="H261" s="48" t="inlineStr">
        <is>
          <t>Post Top Pole 12M-T4-TR</t>
        </is>
      </c>
      <c r="I261" s="49" t="n">
        <v>51744</v>
      </c>
      <c r="J261" s="49" t="n">
        <v>3622.08</v>
      </c>
      <c r="K261" s="49" t="n">
        <v>55366.08</v>
      </c>
      <c r="L261" s="46" t="inlineStr">
        <is>
          <t>⚪ รอผล</t>
        </is>
      </c>
      <c r="M261" s="46" t="inlineStr">
        <is>
          <t>ต่ำ</t>
        </is>
      </c>
      <c r="N261" s="46" t="n">
        <v>1</v>
      </c>
      <c r="O261" s="46" t="inlineStr">
        <is>
          <t>—</t>
        </is>
      </c>
      <c r="P261" s="46" t="n"/>
      <c r="Q261" s="46" t="n"/>
      <c r="R261" s="46" t="n"/>
      <c r="S261" s="46" t="n"/>
    </row>
    <row r="262" ht="15" customHeight="1">
      <c r="A262" s="46" t="inlineStr">
        <is>
          <t>PL891</t>
        </is>
      </c>
      <c r="B262" s="46" t="inlineStr">
        <is>
          <t>2026-05</t>
        </is>
      </c>
      <c r="C262" s="47" t="inlineStr">
        <is>
          <t>เค บี เอ็ม</t>
        </is>
      </c>
      <c r="D262" s="46" t="inlineStr">
        <is>
          <t>B2B อื่นๆ</t>
        </is>
      </c>
      <c r="E262" s="46" t="inlineStr">
        <is>
          <t>LKT. 2026-05 -PL886</t>
        </is>
      </c>
      <c r="F262" s="46" t="inlineStr">
        <is>
          <t>22 พฤษภาคม 2026</t>
        </is>
      </c>
      <c r="G262" s="46" t="inlineStr">
        <is>
          <t>เสาไฟถนน</t>
        </is>
      </c>
      <c r="H262" s="48" t="inlineStr">
        <is>
          <t>โคมกันนํ้ากันฝุน FT-TUBEPROTECT/VER2/LIN-1X1200/G13/LED-DE</t>
        </is>
      </c>
      <c r="I262" s="49" t="n">
        <v>7497</v>
      </c>
      <c r="J262" s="49" t="n">
        <v>524.79</v>
      </c>
      <c r="K262" s="49" t="n">
        <v>8021.79</v>
      </c>
      <c r="L262" s="46" t="inlineStr">
        <is>
          <t>⚪ รอผล</t>
        </is>
      </c>
      <c r="M262" s="46" t="inlineStr">
        <is>
          <t>ต่ำ</t>
        </is>
      </c>
      <c r="N262" s="46" t="n">
        <v>1</v>
      </c>
      <c r="O262" s="46" t="inlineStr">
        <is>
          <t>อปท. Supply</t>
        </is>
      </c>
      <c r="P262" s="46" t="n"/>
      <c r="Q262" s="46" t="n"/>
      <c r="R262" s="46" t="n"/>
      <c r="S262" s="46" t="n"/>
    </row>
    <row r="263" ht="15" customHeight="1">
      <c r="A263" s="38" t="inlineStr">
        <is>
          <t>PL892</t>
        </is>
      </c>
      <c r="B263" s="38" t="inlineStr">
        <is>
          <t>2026-05</t>
        </is>
      </c>
      <c r="C263" s="39" t="inlineStr">
        <is>
          <t>ณญาริน 6M1B</t>
        </is>
      </c>
      <c r="D263" s="38" t="inlineStr">
        <is>
          <t>B2B อื่นๆ</t>
        </is>
      </c>
      <c r="E263" s="38" t="inlineStr">
        <is>
          <t>LKT. 2026-05 -PL892</t>
        </is>
      </c>
      <c r="F263" s="38" t="inlineStr">
        <is>
          <t>25 พฤษภาคม 2026</t>
        </is>
      </c>
      <c r="G263" s="38" t="inlineStr">
        <is>
          <t>เสาไฟถนน</t>
        </is>
      </c>
      <c r="H263" s="40" t="inlineStr">
        <is>
          <t>Pole With Bracket 6M-T4-TR</t>
        </is>
      </c>
      <c r="I263" s="41" t="n">
        <v>340600</v>
      </c>
      <c r="J263" s="41" t="n">
        <v>23842</v>
      </c>
      <c r="K263" s="41" t="n">
        <v>364442</v>
      </c>
      <c r="L263" s="38" t="inlineStr">
        <is>
          <t>📋 ติดตาม</t>
        </is>
      </c>
      <c r="M263" s="38" t="inlineStr">
        <is>
          <t>กลาง</t>
        </is>
      </c>
      <c r="N263" s="38" t="n">
        <v>1</v>
      </c>
      <c r="O263" s="38" t="inlineStr">
        <is>
          <t>—</t>
        </is>
      </c>
      <c r="P263" s="38" t="n"/>
      <c r="Q263" s="38" t="n"/>
      <c r="R263" s="38" t="n"/>
      <c r="S263" s="38" t="n"/>
    </row>
    <row r="264" ht="15" customHeight="1">
      <c r="A264" s="38" t="inlineStr">
        <is>
          <t>PL893</t>
        </is>
      </c>
      <c r="B264" s="38" t="inlineStr">
        <is>
          <t>2026-05</t>
        </is>
      </c>
      <c r="C264" s="39" t="inlineStr">
        <is>
          <t>จีเนียส กิสโม -Post Top 4  ดวง</t>
        </is>
      </c>
      <c r="D264" s="38" t="inlineStr">
        <is>
          <t>B2B อื่นๆ</t>
        </is>
      </c>
      <c r="E264" s="38" t="inlineStr">
        <is>
          <t>LKT. 2026-05 -PL893</t>
        </is>
      </c>
      <c r="F264" s="38" t="inlineStr">
        <is>
          <t>25 พฤษภาคม 2026</t>
        </is>
      </c>
      <c r="G264" s="38" t="inlineStr">
        <is>
          <t>เสาไฟถนน</t>
        </is>
      </c>
      <c r="H264" s="40" t="inlineStr">
        <is>
          <t>เสา post top 9M + วงแหวน 4โคม OD1200</t>
        </is>
      </c>
      <c r="I264" s="41" t="n">
        <v>589225</v>
      </c>
      <c r="J264" s="41" t="n">
        <v>41245.75</v>
      </c>
      <c r="K264" s="41" t="n">
        <v>630470.75</v>
      </c>
      <c r="L264" s="38" t="inlineStr">
        <is>
          <t>📋 ติดตาม</t>
        </is>
      </c>
      <c r="M264" s="38" t="inlineStr">
        <is>
          <t>กลาง</t>
        </is>
      </c>
      <c r="N264" s="38" t="n">
        <v>1</v>
      </c>
      <c r="O264" s="38" t="inlineStr">
        <is>
          <t>—</t>
        </is>
      </c>
      <c r="P264" s="38" t="n"/>
      <c r="Q264" s="38" t="n"/>
      <c r="R264" s="38" t="n"/>
      <c r="S264" s="38" t="n"/>
    </row>
    <row r="265" ht="15" customHeight="1">
      <c r="A265" s="46" t="inlineStr">
        <is>
          <t>PL894</t>
        </is>
      </c>
      <c r="B265" s="46" t="inlineStr">
        <is>
          <t>2026-05</t>
        </is>
      </c>
      <c r="C265" s="47" t="inlineStr">
        <is>
          <t>ไอคอนเนค เอ็นจิเนียริ่ง</t>
        </is>
      </c>
      <c r="D265" s="46" t="inlineStr">
        <is>
          <t>B2B อื่นๆ</t>
        </is>
      </c>
      <c r="E265" s="46" t="inlineStr">
        <is>
          <t>LKT. 2026-05-PL894</t>
        </is>
      </c>
      <c r="F265" s="46" t="inlineStr">
        <is>
          <t>25 พฤษภาคม 2026</t>
        </is>
      </c>
      <c r="G265" s="46" t="inlineStr">
        <is>
          <t>เสาไฟถนน</t>
        </is>
      </c>
      <c r="H265" s="48" t="inlineStr">
        <is>
          <t>Post Top Pole 5M-T4-TR</t>
        </is>
      </c>
      <c r="I265" s="49" t="n">
        <v>21599.2</v>
      </c>
      <c r="J265" s="49" t="n">
        <v>1511.94</v>
      </c>
      <c r="K265" s="49" t="n">
        <v>23111.14</v>
      </c>
      <c r="L265" s="46" t="inlineStr">
        <is>
          <t>⚪ รอผล</t>
        </is>
      </c>
      <c r="M265" s="46" t="inlineStr">
        <is>
          <t>ต่ำ</t>
        </is>
      </c>
      <c r="N265" s="46" t="n">
        <v>1</v>
      </c>
      <c r="O265" s="46" t="inlineStr">
        <is>
          <t>—</t>
        </is>
      </c>
      <c r="P265" s="46" t="n"/>
      <c r="Q265" s="46" t="n"/>
      <c r="R265" s="46" t="n"/>
      <c r="S265" s="46" t="n"/>
    </row>
    <row r="266" ht="15" customHeight="1">
      <c r="A266" s="38" t="inlineStr">
        <is>
          <t>PL895</t>
        </is>
      </c>
      <c r="B266" s="38" t="inlineStr">
        <is>
          <t>2026-05</t>
        </is>
      </c>
      <c r="C266" s="39" t="inlineStr">
        <is>
          <t>ไทยเกอร์</t>
        </is>
      </c>
      <c r="D266" s="38" t="inlineStr">
        <is>
          <t>B2B อื่นๆ</t>
        </is>
      </c>
      <c r="E266" s="38" t="inlineStr">
        <is>
          <t>LKT. 2026-05-PL895</t>
        </is>
      </c>
      <c r="F266" s="38" t="inlineStr">
        <is>
          <t>25 พฤษภาคม 2026</t>
        </is>
      </c>
      <c r="G266" s="38" t="inlineStr">
        <is>
          <t>เสาไฟถนน</t>
        </is>
      </c>
      <c r="H266" s="40" t="inlineStr">
        <is>
          <t>Pole With Bracket 6M-T4-TR</t>
        </is>
      </c>
      <c r="I266" s="41" t="n">
        <v>470743</v>
      </c>
      <c r="J266" s="41" t="n">
        <v>32952.01</v>
      </c>
      <c r="K266" s="41" t="n">
        <v>503695.01</v>
      </c>
      <c r="L266" s="38" t="inlineStr">
        <is>
          <t>📋 ติดตาม</t>
        </is>
      </c>
      <c r="M266" s="38" t="inlineStr">
        <is>
          <t>กลาง</t>
        </is>
      </c>
      <c r="N266" s="38" t="n">
        <v>1</v>
      </c>
      <c r="O266" s="38" t="inlineStr">
        <is>
          <t>—</t>
        </is>
      </c>
      <c r="P266" s="38" t="n"/>
      <c r="Q266" s="38" t="n"/>
      <c r="R266" s="38" t="n"/>
      <c r="S266" s="38" t="n"/>
    </row>
    <row r="267" ht="15" customHeight="1">
      <c r="A267" s="46" t="inlineStr">
        <is>
          <t>PL896</t>
        </is>
      </c>
      <c r="B267" s="46" t="inlineStr">
        <is>
          <t>2026-05</t>
        </is>
      </c>
      <c r="C267" s="47" t="inlineStr">
        <is>
          <t>แอคคาส กรุ๊ป</t>
        </is>
      </c>
      <c r="D267" s="46" t="inlineStr">
        <is>
          <t>B2B อื่นๆ</t>
        </is>
      </c>
      <c r="E267" s="46" t="inlineStr">
        <is>
          <t>LKT. 2026-05-896</t>
        </is>
      </c>
      <c r="F267" s="46" t="inlineStr">
        <is>
          <t>25 พฤษภาคม 2026</t>
        </is>
      </c>
      <c r="G267" s="46" t="inlineStr">
        <is>
          <t>High Mast</t>
        </is>
      </c>
      <c r="H267" s="48" t="inlineStr">
        <is>
          <t>HIGH MAST POLE 15M (เสาเปลา)</t>
        </is>
      </c>
      <c r="I267" s="49" t="n">
        <v>94570</v>
      </c>
      <c r="J267" s="49" t="n">
        <v>6619.9</v>
      </c>
      <c r="K267" s="49" t="n">
        <v>101189.9</v>
      </c>
      <c r="L267" s="46" t="inlineStr">
        <is>
          <t>⚪ รอผล</t>
        </is>
      </c>
      <c r="M267" s="46" t="inlineStr">
        <is>
          <t>ต่ำ</t>
        </is>
      </c>
      <c r="N267" s="46" t="n">
        <v>1</v>
      </c>
      <c r="O267" s="46" t="inlineStr">
        <is>
          <t>—</t>
        </is>
      </c>
      <c r="P267" s="46" t="n"/>
      <c r="Q267" s="46" t="n"/>
      <c r="R267" s="46" t="n"/>
      <c r="S267" s="46" t="n"/>
    </row>
    <row r="268" ht="15" customHeight="1">
      <c r="A268" s="46" t="inlineStr">
        <is>
          <t>PL897</t>
        </is>
      </c>
      <c r="B268" s="46" t="inlineStr">
        <is>
          <t>2026-05</t>
        </is>
      </c>
      <c r="C268" s="47" t="inlineStr">
        <is>
          <t>พาวเวอร์เทค เอนจิเนียริ่ง</t>
        </is>
      </c>
      <c r="D268" s="46" t="inlineStr">
        <is>
          <t>B2B อื่นๆ</t>
        </is>
      </c>
      <c r="E268" s="46" t="inlineStr">
        <is>
          <t>LKT. 2026-05-PL897</t>
        </is>
      </c>
      <c r="F268" s="46" t="inlineStr">
        <is>
          <t>25 พฤษภาคม 2026</t>
        </is>
      </c>
      <c r="G268" s="46" t="inlineStr">
        <is>
          <t>เสาไฟถนน</t>
        </is>
      </c>
      <c r="H268" s="48" t="inlineStr">
        <is>
          <t>Pole With Bracket 4M-T3.2-TR</t>
        </is>
      </c>
      <c r="I268" s="49" t="n">
        <v>40278</v>
      </c>
      <c r="J268" s="49" t="n">
        <v>2819.46</v>
      </c>
      <c r="K268" s="49" t="n">
        <v>43097.46</v>
      </c>
      <c r="L268" s="46" t="inlineStr">
        <is>
          <t>⚪ รอผล</t>
        </is>
      </c>
      <c r="M268" s="46" t="inlineStr">
        <is>
          <t>ต่ำ</t>
        </is>
      </c>
      <c r="N268" s="46" t="n">
        <v>1</v>
      </c>
      <c r="O268" s="46" t="inlineStr">
        <is>
          <t>—</t>
        </is>
      </c>
      <c r="P268" s="46" t="n"/>
      <c r="Q268" s="46" t="n"/>
      <c r="R268" s="46" t="n"/>
      <c r="S268" s="46" t="n"/>
    </row>
    <row r="269" ht="15" customHeight="1">
      <c r="A269" s="38" t="inlineStr">
        <is>
          <t>PL898</t>
        </is>
      </c>
      <c r="B269" s="38" t="inlineStr">
        <is>
          <t>2026-05</t>
        </is>
      </c>
      <c r="C269" s="39" t="inlineStr">
        <is>
          <t>ฐิดาภา ขันทอง</t>
        </is>
      </c>
      <c r="D269" s="38" t="inlineStr">
        <is>
          <t>B2B อื่นๆ</t>
        </is>
      </c>
      <c r="E269" s="38" t="inlineStr">
        <is>
          <t>LKT. 2026-05-PL898</t>
        </is>
      </c>
      <c r="F269" s="38" t="inlineStr">
        <is>
          <t>25 พฤษภาคม 2026</t>
        </is>
      </c>
      <c r="G269" s="38" t="inlineStr">
        <is>
          <t>High Mast</t>
        </is>
      </c>
      <c r="H269" s="40" t="inlineStr">
        <is>
          <t>HIGH MAST POLE 18M วงแหวน 10โคม</t>
        </is>
      </c>
      <c r="I269" s="41" t="n">
        <v>793447.2</v>
      </c>
      <c r="J269" s="41" t="n">
        <v>55541.3</v>
      </c>
      <c r="K269" s="41" t="n">
        <v>848988.5</v>
      </c>
      <c r="L269" s="38" t="inlineStr">
        <is>
          <t>📋 ติดตาม</t>
        </is>
      </c>
      <c r="M269" s="38" t="inlineStr">
        <is>
          <t>กลาง</t>
        </is>
      </c>
      <c r="N269" s="38" t="n">
        <v>1</v>
      </c>
      <c r="O269" s="38" t="inlineStr">
        <is>
          <t>—</t>
        </is>
      </c>
      <c r="P269" s="38" t="n"/>
      <c r="Q269" s="38" t="n"/>
      <c r="R269" s="38" t="n"/>
      <c r="S269" s="38" t="n"/>
    </row>
    <row r="270" ht="15" customHeight="1">
      <c r="A270" s="46" t="inlineStr">
        <is>
          <t>PL899</t>
        </is>
      </c>
      <c r="B270" s="46" t="inlineStr">
        <is>
          <t>2026-05</t>
        </is>
      </c>
      <c r="C270" s="47" t="inlineStr">
        <is>
          <t>สวัสดีโฮมมาร์ท 2.5</t>
        </is>
      </c>
      <c r="D270" s="46" t="inlineStr">
        <is>
          <t>B2B อื่นๆ</t>
        </is>
      </c>
      <c r="E270" s="46" t="inlineStr">
        <is>
          <t>LKT. 2026-05-PL899</t>
        </is>
      </c>
      <c r="F270" s="46" t="inlineStr">
        <is>
          <t>26 พฤษภาคม 2026</t>
        </is>
      </c>
      <c r="G270" s="46" t="inlineStr">
        <is>
          <t>Guard Rail / การ์ดเรล</t>
        </is>
      </c>
      <c r="H270" s="48" t="inlineStr">
        <is>
          <t>Guard Rail / การ์ดเรล</t>
        </is>
      </c>
      <c r="I270" s="49" t="n">
        <v>16500</v>
      </c>
      <c r="J270" s="49" t="n">
        <v>1155</v>
      </c>
      <c r="K270" s="49" t="n">
        <v>17655</v>
      </c>
      <c r="L270" s="46" t="inlineStr">
        <is>
          <t>⚪ รอผล</t>
        </is>
      </c>
      <c r="M270" s="46" t="inlineStr">
        <is>
          <t>ต่ำ</t>
        </is>
      </c>
      <c r="N270" s="46" t="n">
        <v>1</v>
      </c>
      <c r="O270" s="46" t="inlineStr">
        <is>
          <t>—</t>
        </is>
      </c>
      <c r="P270" s="46" t="n"/>
      <c r="Q270" s="46" t="n"/>
      <c r="R270" s="46" t="n"/>
      <c r="S270" s="46" t="n"/>
    </row>
    <row r="271" ht="15" customHeight="1">
      <c r="A271" s="46" t="inlineStr">
        <is>
          <t>PL900</t>
        </is>
      </c>
      <c r="B271" s="46" t="inlineStr">
        <is>
          <t>2026-05</t>
        </is>
      </c>
      <c r="C271" s="47" t="inlineStr">
        <is>
          <t>กิจการร่วมค้า พีเอสดี</t>
        </is>
      </c>
      <c r="D271" s="46" t="inlineStr">
        <is>
          <t>B2B อื่นๆ</t>
        </is>
      </c>
      <c r="E271" s="46" t="inlineStr">
        <is>
          <t>LKT. 2026-05-900</t>
        </is>
      </c>
      <c r="F271" s="46" t="inlineStr">
        <is>
          <t>25 พฤษภาคม 2026</t>
        </is>
      </c>
      <c r="G271" s="46" t="inlineStr">
        <is>
          <t>เสาไฟถนน</t>
        </is>
      </c>
      <c r="H271" s="48" t="inlineStr">
        <is>
          <t>Post top 12M + วงแหวน 4 โคม OD1200</t>
        </is>
      </c>
      <c r="I271" s="49" t="n">
        <v>46303</v>
      </c>
      <c r="J271" s="49" t="n">
        <v>3241.21</v>
      </c>
      <c r="K271" s="49" t="n">
        <v>49544.21</v>
      </c>
      <c r="L271" s="46" t="inlineStr">
        <is>
          <t>⚪ รอผล</t>
        </is>
      </c>
      <c r="M271" s="46" t="inlineStr">
        <is>
          <t>ต่ำ</t>
        </is>
      </c>
      <c r="N271" s="46" t="n">
        <v>1</v>
      </c>
      <c r="O271" s="46" t="inlineStr">
        <is>
          <t>—</t>
        </is>
      </c>
      <c r="P271" s="46" t="n"/>
      <c r="Q271" s="46" t="n"/>
      <c r="R271" s="46" t="n"/>
      <c r="S271" s="46" t="n"/>
    </row>
    <row r="272" ht="15" customHeight="1">
      <c r="A272" s="38" t="inlineStr">
        <is>
          <t>PL901</t>
        </is>
      </c>
      <c r="B272" s="38" t="inlineStr">
        <is>
          <t>2026-05</t>
        </is>
      </c>
      <c r="C272" s="39" t="inlineStr">
        <is>
          <t>อี อี เอส ที เรซซิ่ง 2.5</t>
        </is>
      </c>
      <c r="D272" s="38" t="inlineStr">
        <is>
          <t>B2B อื่นๆ</t>
        </is>
      </c>
      <c r="E272" s="38" t="inlineStr">
        <is>
          <t>LKT. 2026-05-PL901</t>
        </is>
      </c>
      <c r="F272" s="38" t="inlineStr">
        <is>
          <t>25 พฤษภาคม 2026</t>
        </is>
      </c>
      <c r="G272" s="38" t="inlineStr">
        <is>
          <t>Guard Rail / การ์ดเรล</t>
        </is>
      </c>
      <c r="H272" s="40" t="inlineStr">
        <is>
          <t>เสาการดเรล OD100 H2.0M</t>
        </is>
      </c>
      <c r="I272" s="41" t="n">
        <v>867167.7</v>
      </c>
      <c r="J272" s="41" t="n">
        <v>60701.74</v>
      </c>
      <c r="K272" s="41" t="n">
        <v>927869.4399999999</v>
      </c>
      <c r="L272" s="38" t="inlineStr">
        <is>
          <t>📋 ติดตาม</t>
        </is>
      </c>
      <c r="M272" s="38" t="inlineStr">
        <is>
          <t>กลาง</t>
        </is>
      </c>
      <c r="N272" s="38" t="n">
        <v>1</v>
      </c>
      <c r="O272" s="38" t="inlineStr">
        <is>
          <t>—</t>
        </is>
      </c>
      <c r="P272" s="38" t="n"/>
      <c r="Q272" s="38" t="n"/>
      <c r="R272" s="38" t="n"/>
      <c r="S272" s="38" t="n"/>
    </row>
    <row r="273" ht="15" customHeight="1">
      <c r="A273" s="46" t="inlineStr">
        <is>
          <t>PL902</t>
        </is>
      </c>
      <c r="B273" s="46" t="inlineStr">
        <is>
          <t>2026-05</t>
        </is>
      </c>
      <c r="C273" s="47" t="inlineStr">
        <is>
          <t>อบต.หัวทุ่ง</t>
        </is>
      </c>
      <c r="D273" s="46" t="inlineStr">
        <is>
          <t>B2G อปท.</t>
        </is>
      </c>
      <c r="E273" s="46" t="inlineStr">
        <is>
          <t>LKT. 2026-05 -PL902</t>
        </is>
      </c>
      <c r="F273" s="46" t="inlineStr">
        <is>
          <t>26 พฤษภาคม 2026</t>
        </is>
      </c>
      <c r="G273" s="46" t="inlineStr">
        <is>
          <t>เสาไฟถนน</t>
        </is>
      </c>
      <c r="H273" s="48" t="inlineStr">
        <is>
          <t>Pole With Bracket 9M-T4-TR</t>
        </is>
      </c>
      <c r="I273" s="49" t="n">
        <v>11858</v>
      </c>
      <c r="J273" s="49" t="n">
        <v>830.0599999999999</v>
      </c>
      <c r="K273" s="49" t="n">
        <v>12688.06</v>
      </c>
      <c r="L273" s="46" t="inlineStr">
        <is>
          <t>⚪ รอผล</t>
        </is>
      </c>
      <c r="M273" s="46" t="inlineStr">
        <is>
          <t>ต่ำ</t>
        </is>
      </c>
      <c r="N273" s="46" t="n">
        <v>1</v>
      </c>
      <c r="O273" s="46" t="inlineStr">
        <is>
          <t>—</t>
        </is>
      </c>
      <c r="P273" s="46" t="n"/>
      <c r="Q273" s="46" t="n"/>
      <c r="R273" s="46" t="n"/>
      <c r="S273" s="46" t="n"/>
    </row>
    <row r="274" ht="15" customHeight="1">
      <c r="A274" s="46" t="inlineStr">
        <is>
          <t>PL903</t>
        </is>
      </c>
      <c r="B274" s="46" t="inlineStr">
        <is>
          <t>2026-05</t>
        </is>
      </c>
      <c r="C274" s="47" t="inlineStr">
        <is>
          <t>ทูซิส ซัพพลาย</t>
        </is>
      </c>
      <c r="D274" s="46" t="inlineStr">
        <is>
          <t>B2B อื่นๆ</t>
        </is>
      </c>
      <c r="E274" s="46" t="inlineStr">
        <is>
          <t>LKT. 2026-05-PL903</t>
        </is>
      </c>
      <c r="F274" s="46" t="inlineStr">
        <is>
          <t>25 พฤษภาคม 2026</t>
        </is>
      </c>
      <c r="G274" s="46" t="inlineStr">
        <is>
          <t>Guard Rail / การ์ดเรล</t>
        </is>
      </c>
      <c r="H274" s="48" t="inlineStr">
        <is>
          <t>เสาการดเรล OD100 H2.0M</t>
        </is>
      </c>
      <c r="I274" s="49" t="n">
        <v>176946.84</v>
      </c>
      <c r="J274" s="49" t="n">
        <v>12386.28</v>
      </c>
      <c r="K274" s="49" t="n">
        <v>189333.12</v>
      </c>
      <c r="L274" s="46" t="inlineStr">
        <is>
          <t>⚪ รอผล</t>
        </is>
      </c>
      <c r="M274" s="46" t="inlineStr">
        <is>
          <t>ต่ำ</t>
        </is>
      </c>
      <c r="N274" s="46" t="n">
        <v>1</v>
      </c>
      <c r="O274" s="46" t="inlineStr">
        <is>
          <t>—</t>
        </is>
      </c>
      <c r="P274" s="46" t="n"/>
      <c r="Q274" s="46" t="n"/>
      <c r="R274" s="46" t="n"/>
      <c r="S274" s="46" t="n"/>
    </row>
    <row r="275" ht="15" customHeight="1">
      <c r="A275" s="46" t="inlineStr">
        <is>
          <t>PL904</t>
        </is>
      </c>
      <c r="B275" s="46" t="inlineStr">
        <is>
          <t>2026-05</t>
        </is>
      </c>
      <c r="C275" s="47" t="inlineStr">
        <is>
          <t>เคเอสซี รีไลด์บิลิตี้</t>
        </is>
      </c>
      <c r="D275" s="46" t="inlineStr">
        <is>
          <t>B2B อื่นๆ</t>
        </is>
      </c>
      <c r="E275" s="46" t="inlineStr">
        <is>
          <t>LKT. 2026-05-PL904</t>
        </is>
      </c>
      <c r="F275" s="46" t="inlineStr">
        <is>
          <t>26 พฤษภาคม 2026</t>
        </is>
      </c>
      <c r="G275" s="46" t="inlineStr">
        <is>
          <t>เสาไฟถนน</t>
        </is>
      </c>
      <c r="H275" s="48" t="inlineStr">
        <is>
          <t>Pole With Bracket 4M-T3.2-TR</t>
        </is>
      </c>
      <c r="I275" s="49" t="n">
        <v>6468</v>
      </c>
      <c r="J275" s="49" t="n">
        <v>452.76</v>
      </c>
      <c r="K275" s="49" t="n">
        <v>6920.76</v>
      </c>
      <c r="L275" s="46" t="inlineStr">
        <is>
          <t>⚪ รอผล</t>
        </is>
      </c>
      <c r="M275" s="46" t="inlineStr">
        <is>
          <t>ต่ำ</t>
        </is>
      </c>
      <c r="N275" s="46" t="n">
        <v>1</v>
      </c>
      <c r="O275" s="46" t="inlineStr">
        <is>
          <t>—</t>
        </is>
      </c>
      <c r="P275" s="46" t="n"/>
      <c r="Q275" s="46" t="n"/>
      <c r="R275" s="46" t="n"/>
      <c r="S275" s="46" t="n"/>
    </row>
    <row r="276" ht="15" customHeight="1">
      <c r="A276" s="38" t="inlineStr">
        <is>
          <t>PL905</t>
        </is>
      </c>
      <c r="B276" s="38" t="inlineStr">
        <is>
          <t>2026-05</t>
        </is>
      </c>
      <c r="C276" s="39" t="inlineStr">
        <is>
          <t>เค บี เอ็ม 15ม.</t>
        </is>
      </c>
      <c r="D276" s="38" t="inlineStr">
        <is>
          <t>B2B อื่นๆ</t>
        </is>
      </c>
      <c r="E276" s="38" t="inlineStr">
        <is>
          <t>LKT. 2026-05 -PL905</t>
        </is>
      </c>
      <c r="F276" s="38" t="inlineStr">
        <is>
          <t>26 พฤษภาคม 2026</t>
        </is>
      </c>
      <c r="G276" s="38" t="inlineStr">
        <is>
          <t>High Mast</t>
        </is>
      </c>
      <c r="H276" s="40" t="inlineStr">
        <is>
          <t>High Mast 15M วงแหวน 8 โคม 11 ลอน</t>
        </is>
      </c>
      <c r="I276" s="41" t="n">
        <v>711872</v>
      </c>
      <c r="J276" s="41" t="n">
        <v>49831.04</v>
      </c>
      <c r="K276" s="41" t="n">
        <v>761703.04</v>
      </c>
      <c r="L276" s="38" t="inlineStr">
        <is>
          <t>📋 ติดตาม</t>
        </is>
      </c>
      <c r="M276" s="38" t="inlineStr">
        <is>
          <t>กลาง</t>
        </is>
      </c>
      <c r="N276" s="38" t="n">
        <v>1</v>
      </c>
      <c r="O276" s="38" t="inlineStr">
        <is>
          <t>อปท. Supply</t>
        </is>
      </c>
      <c r="P276" s="38" t="n"/>
      <c r="Q276" s="38" t="n"/>
      <c r="R276" s="38" t="n"/>
      <c r="S276" s="38" t="n"/>
    </row>
    <row r="277" ht="15" customHeight="1">
      <c r="A277" s="46" t="inlineStr">
        <is>
          <t>PL906</t>
        </is>
      </c>
      <c r="B277" s="46" t="inlineStr">
        <is>
          <t>2026-05</t>
        </is>
      </c>
      <c r="C277" s="47" t="inlineStr">
        <is>
          <t>สรรค์สร้างสุข</t>
        </is>
      </c>
      <c r="D277" s="46" t="inlineStr">
        <is>
          <t>B2B อื่นๆ</t>
        </is>
      </c>
      <c r="E277" s="46" t="inlineStr">
        <is>
          <t>LKT. 2026-05 -PL906</t>
        </is>
      </c>
      <c r="F277" s="46" t="inlineStr">
        <is>
          <t>27 พฤษภาคม 2026</t>
        </is>
      </c>
      <c r="G277" s="46" t="inlineStr">
        <is>
          <t>LED Floodlight</t>
        </is>
      </c>
      <c r="H277" s="48" t="inlineStr">
        <is>
          <t>Floodlight 1xE40 HPS 400W ครบชุด</t>
        </is>
      </c>
      <c r="I277" s="49" t="n">
        <v>38416</v>
      </c>
      <c r="J277" s="49" t="n">
        <v>2689.12</v>
      </c>
      <c r="K277" s="49" t="n">
        <v>41105.12</v>
      </c>
      <c r="L277" s="46" t="inlineStr">
        <is>
          <t>⚪ รอผล</t>
        </is>
      </c>
      <c r="M277" s="46" t="inlineStr">
        <is>
          <t>ต่ำ</t>
        </is>
      </c>
      <c r="N277" s="46" t="n">
        <v>1</v>
      </c>
      <c r="O277" s="46" t="inlineStr">
        <is>
          <t>—</t>
        </is>
      </c>
      <c r="P277" s="46" t="n"/>
      <c r="Q277" s="46" t="n"/>
      <c r="R277" s="46" t="n"/>
      <c r="S277" s="46" t="n"/>
    </row>
    <row r="278" ht="15" customHeight="1">
      <c r="A278" s="46" t="inlineStr">
        <is>
          <t>PL907</t>
        </is>
      </c>
      <c r="B278" s="46" t="inlineStr">
        <is>
          <t>2026-05</t>
        </is>
      </c>
      <c r="C278" s="47" t="inlineStr">
        <is>
          <t>วุทธิวงษ์ เทรดดิ้ง</t>
        </is>
      </c>
      <c r="D278" s="46" t="inlineStr">
        <is>
          <t>B2B อื่นๆ</t>
        </is>
      </c>
      <c r="E278" s="46" t="inlineStr">
        <is>
          <t>LKT. 2026-05 -PL907</t>
        </is>
      </c>
      <c r="F278" s="46" t="inlineStr">
        <is>
          <t>27 พฤษภาคม 2026</t>
        </is>
      </c>
      <c r="G278" s="46" t="inlineStr">
        <is>
          <t>เสาไฟถนน</t>
        </is>
      </c>
      <c r="H278" s="48" t="inlineStr">
        <is>
          <t>เสากลมตรง OD.3นิ้ว สูง 4M. PL.10t</t>
        </is>
      </c>
      <c r="I278" s="49" t="n">
        <v>53350</v>
      </c>
      <c r="J278" s="49" t="n">
        <v>3734.5</v>
      </c>
      <c r="K278" s="49" t="n">
        <v>57084.5</v>
      </c>
      <c r="L278" s="46" t="inlineStr">
        <is>
          <t>⚪ รอผล</t>
        </is>
      </c>
      <c r="M278" s="46" t="inlineStr">
        <is>
          <t>ต่ำ</t>
        </is>
      </c>
      <c r="N278" s="46" t="n">
        <v>1</v>
      </c>
      <c r="O278" s="46" t="inlineStr">
        <is>
          <t>—</t>
        </is>
      </c>
      <c r="P278" s="46" t="n"/>
      <c r="Q278" s="46" t="n"/>
      <c r="R278" s="46" t="n"/>
      <c r="S278" s="46" t="n"/>
    </row>
    <row r="279" ht="15" customHeight="1">
      <c r="A279" s="42" t="inlineStr">
        <is>
          <t>PL908</t>
        </is>
      </c>
      <c r="B279" s="42" t="inlineStr">
        <is>
          <t>2026-05</t>
        </is>
      </c>
      <c r="C279" s="43" t="inlineStr">
        <is>
          <t>เค บี เอ็ม _25ม. 15</t>
        </is>
      </c>
      <c r="D279" s="42" t="inlineStr">
        <is>
          <t>B2B อื่นๆ</t>
        </is>
      </c>
      <c r="E279" s="42" t="inlineStr">
        <is>
          <t>LKT. 2026-05 -PL908</t>
        </is>
      </c>
      <c r="F279" s="42" t="inlineStr">
        <is>
          <t>29 พฤษภาคม 2026</t>
        </is>
      </c>
      <c r="G279" s="42" t="inlineStr">
        <is>
          <t>High Mast</t>
        </is>
      </c>
      <c r="H279" s="44" t="inlineStr">
        <is>
          <t>High Mast 25 M + Stadium 3 ชั้น 15 โคม</t>
        </is>
      </c>
      <c r="I279" s="45" t="n">
        <v>2567600</v>
      </c>
      <c r="J279" s="45" t="n">
        <v>179732</v>
      </c>
      <c r="K279" s="45" t="n">
        <v>2747332</v>
      </c>
      <c r="L279" s="42" t="inlineStr">
        <is>
          <t>📞 ติดตาม-High</t>
        </is>
      </c>
      <c r="M279" s="42" t="inlineStr">
        <is>
          <t>สูง</t>
        </is>
      </c>
      <c r="N279" s="42" t="n">
        <v>1</v>
      </c>
      <c r="O279" s="42" t="inlineStr">
        <is>
          <t>อปท. Supply</t>
        </is>
      </c>
      <c r="P279" s="42" t="n"/>
      <c r="Q279" s="42" t="n"/>
      <c r="R279" s="42" t="n"/>
      <c r="S279" s="42" t="n"/>
    </row>
    <row r="280" ht="15" customHeight="1">
      <c r="A280" s="38" t="inlineStr">
        <is>
          <t>PL909</t>
        </is>
      </c>
      <c r="B280" s="38" t="inlineStr">
        <is>
          <t>2026-05</t>
        </is>
      </c>
      <c r="C280" s="39" t="inlineStr">
        <is>
          <t>บ.เจมินี เทค กรมท่ากระบี่</t>
        </is>
      </c>
      <c r="D280" s="38" t="inlineStr">
        <is>
          <t>B2G ภาครัฐ</t>
        </is>
      </c>
      <c r="E280" s="38" t="inlineStr">
        <is>
          <t>LKT. 2026-05 -PL909</t>
        </is>
      </c>
      <c r="F280" s="38" t="inlineStr">
        <is>
          <t>28 พฤษภาคม 2026</t>
        </is>
      </c>
      <c r="G280" s="38" t="inlineStr">
        <is>
          <t>อื่นๆ</t>
        </is>
      </c>
      <c r="H280" s="40" t="inlineStr">
        <is>
          <t>อื่นๆ</t>
        </is>
      </c>
      <c r="I280" s="41" t="n">
        <v>350550</v>
      </c>
      <c r="J280" s="41" t="n">
        <v>24538.5</v>
      </c>
      <c r="K280" s="41" t="n">
        <v>375088.5</v>
      </c>
      <c r="L280" s="38" t="inlineStr">
        <is>
          <t>📋 ติดตาม</t>
        </is>
      </c>
      <c r="M280" s="38" t="inlineStr">
        <is>
          <t>กลาง</t>
        </is>
      </c>
      <c r="N280" s="38" t="n">
        <v>0</v>
      </c>
      <c r="O280" s="38" t="inlineStr">
        <is>
          <t>DOA</t>
        </is>
      </c>
      <c r="P280" s="38" t="n"/>
      <c r="Q280" s="38" t="n"/>
      <c r="R280" s="38" t="n"/>
      <c r="S280" s="38" t="n"/>
    </row>
    <row r="281" ht="15" customHeight="1">
      <c r="A281" s="42" t="inlineStr">
        <is>
          <t>PL910</t>
        </is>
      </c>
      <c r="B281" s="42" t="inlineStr">
        <is>
          <t>2026-05</t>
        </is>
      </c>
      <c r="C281" s="43" t="inlineStr">
        <is>
          <t>วุทธิวงษ์ เทรดดิ้ง -Solar Split Type</t>
        </is>
      </c>
      <c r="D281" s="42" t="inlineStr">
        <is>
          <t>B2B อื่นๆ</t>
        </is>
      </c>
      <c r="E281" s="42" t="inlineStr">
        <is>
          <t>LKT. 2026-05 -PL910</t>
        </is>
      </c>
      <c r="F281" s="42" t="inlineStr">
        <is>
          <t>28 พฤษภาคม 2026</t>
        </is>
      </c>
      <c r="G281" s="42" t="inlineStr">
        <is>
          <t>อื่นๆ</t>
        </is>
      </c>
      <c r="H281" s="44" t="inlineStr">
        <is>
          <t>อื่นๆ</t>
        </is>
      </c>
      <c r="I281" s="45" t="n">
        <v>2110000</v>
      </c>
      <c r="J281" s="45" t="n">
        <v>147700</v>
      </c>
      <c r="K281" s="45" t="n">
        <v>2257700</v>
      </c>
      <c r="L281" s="42" t="inlineStr">
        <is>
          <t>📞 ติดตาม-High</t>
        </is>
      </c>
      <c r="M281" s="42" t="inlineStr">
        <is>
          <t>สูง</t>
        </is>
      </c>
      <c r="N281" s="42" t="n">
        <v>0</v>
      </c>
      <c r="O281" s="42" t="inlineStr">
        <is>
          <t>—</t>
        </is>
      </c>
      <c r="P281" s="42" t="n"/>
      <c r="Q281" s="42" t="n"/>
      <c r="R281" s="42" t="n"/>
      <c r="S281" s="42" t="n"/>
    </row>
    <row r="282" ht="15" customHeight="1">
      <c r="A282" s="46" t="inlineStr">
        <is>
          <t>PL911</t>
        </is>
      </c>
      <c r="B282" s="46" t="inlineStr">
        <is>
          <t>2026-05</t>
        </is>
      </c>
      <c r="C282" s="47" t="inlineStr">
        <is>
          <t>ZETA-9 Cloud / บริษัท คาแนล วัน จำกัด</t>
        </is>
      </c>
      <c r="D282" s="46" t="inlineStr">
        <is>
          <t>B2B อื่นๆ</t>
        </is>
      </c>
      <c r="E282" s="46" t="inlineStr">
        <is>
          <t>LKT. 2026-05 -PL911</t>
        </is>
      </c>
      <c r="F282" s="46" t="inlineStr">
        <is>
          <t>29 พฤษภาคม 2569</t>
        </is>
      </c>
      <c r="G282" s="46" t="inlineStr">
        <is>
          <t>อื่นๆ</t>
        </is>
      </c>
      <c r="H282" s="48" t="inlineStr">
        <is>
          <t>อื่นๆ</t>
        </is>
      </c>
      <c r="I282" s="49" t="n">
        <v>193050</v>
      </c>
      <c r="J282" s="49" t="n">
        <v>13513.5</v>
      </c>
      <c r="K282" s="49" t="n">
        <v>206563.5</v>
      </c>
      <c r="L282" s="46" t="inlineStr">
        <is>
          <t>⚪ รอผล</t>
        </is>
      </c>
      <c r="M282" s="46" t="inlineStr">
        <is>
          <t>ต่ำ</t>
        </is>
      </c>
      <c r="N282" s="46" t="n">
        <v>0</v>
      </c>
      <c r="O282" s="46" t="inlineStr">
        <is>
          <t>ZETA-iOT</t>
        </is>
      </c>
      <c r="P282" s="46" t="n"/>
      <c r="Q282" s="46" t="n"/>
      <c r="R282" s="46" t="n"/>
      <c r="S282" s="46" t="n"/>
    </row>
    <row r="283" ht="15" customHeight="1">
      <c r="A283" s="46" t="inlineStr">
        <is>
          <t>PL912</t>
        </is>
      </c>
      <c r="B283" s="46" t="inlineStr">
        <is>
          <t>2026-05</t>
        </is>
      </c>
      <c r="C283" s="47" t="inlineStr">
        <is>
          <t>คุณปภพ</t>
        </is>
      </c>
      <c r="D283" s="46" t="inlineStr">
        <is>
          <t>B2C บุคคล</t>
        </is>
      </c>
      <c r="E283" s="46" t="inlineStr">
        <is>
          <t>LKT. 2026-05 -PL912</t>
        </is>
      </c>
      <c r="F283" s="46" t="inlineStr">
        <is>
          <t>29 พฤษภาคม 2026</t>
        </is>
      </c>
      <c r="G283" s="46" t="inlineStr">
        <is>
          <t>เสาไฟถนน</t>
        </is>
      </c>
      <c r="H283" s="48" t="inlineStr">
        <is>
          <t>Pole With Bracket 7M-T4-TR</t>
        </is>
      </c>
      <c r="I283" s="49" t="n">
        <v>88249</v>
      </c>
      <c r="J283" s="49" t="n">
        <v>6177.43</v>
      </c>
      <c r="K283" s="49" t="n">
        <v>94426.42999999999</v>
      </c>
      <c r="L283" s="46" t="inlineStr">
        <is>
          <t>⚪ รอผล</t>
        </is>
      </c>
      <c r="M283" s="46" t="inlineStr">
        <is>
          <t>ต่ำ</t>
        </is>
      </c>
      <c r="N283" s="46" t="n">
        <v>1</v>
      </c>
      <c r="O283" s="46" t="inlineStr">
        <is>
          <t>—</t>
        </is>
      </c>
      <c r="P283" s="46" t="n"/>
      <c r="Q283" s="46" t="n"/>
      <c r="R283" s="46" t="n"/>
      <c r="S283" s="46" t="n"/>
    </row>
    <row r="284" ht="15" customHeight="1">
      <c r="A284" s="46" t="inlineStr">
        <is>
          <t>PL913</t>
        </is>
      </c>
      <c r="B284" s="46" t="inlineStr">
        <is>
          <t>2026-05</t>
        </is>
      </c>
      <c r="C284" s="47" t="inlineStr">
        <is>
          <t>พี.ซี.เอ็น  การช่าง</t>
        </is>
      </c>
      <c r="D284" s="46" t="inlineStr">
        <is>
          <t>B2B อื่นๆ</t>
        </is>
      </c>
      <c r="E284" s="46" t="inlineStr">
        <is>
          <t>LKT. 2026-05 -PL913</t>
        </is>
      </c>
      <c r="F284" s="46" t="inlineStr">
        <is>
          <t>29 พฤษภาคม 2026</t>
        </is>
      </c>
      <c r="G284" s="46" t="inlineStr">
        <is>
          <t>เสาไฟถนน</t>
        </is>
      </c>
      <c r="H284" s="48" t="inlineStr">
        <is>
          <t>Pole With Bracket 6M-T4-TR</t>
        </is>
      </c>
      <c r="I284" s="49" t="n">
        <v>12838</v>
      </c>
      <c r="J284" s="49" t="n">
        <v>898.66</v>
      </c>
      <c r="K284" s="49" t="n">
        <v>13736.66</v>
      </c>
      <c r="L284" s="46" t="inlineStr">
        <is>
          <t>⚪ รอผล</t>
        </is>
      </c>
      <c r="M284" s="46" t="inlineStr">
        <is>
          <t>ต่ำ</t>
        </is>
      </c>
      <c r="N284" s="46" t="n">
        <v>1</v>
      </c>
      <c r="O284" s="46" t="inlineStr">
        <is>
          <t>—</t>
        </is>
      </c>
      <c r="P284" s="46" t="n"/>
      <c r="Q284" s="46" t="n"/>
      <c r="R284" s="46" t="n"/>
      <c r="S284" s="46" t="n"/>
    </row>
    <row r="285" ht="15" customHeight="1">
      <c r="A285" s="46" t="inlineStr">
        <is>
          <t>PL914</t>
        </is>
      </c>
      <c r="B285" s="46" t="inlineStr">
        <is>
          <t>2026-06</t>
        </is>
      </c>
      <c r="C285" s="47" t="inlineStr">
        <is>
          <t>บริษัท ธันเดอร์ เกียร์ (ประเทศไทย) จำกัด</t>
        </is>
      </c>
      <c r="D285" s="46" t="inlineStr">
        <is>
          <t>B2B บริษัท</t>
        </is>
      </c>
      <c r="E285" s="46" t="inlineStr">
        <is>
          <t>LKT. 2026-06-PL914</t>
        </is>
      </c>
      <c r="F285" s="46" t="n"/>
      <c r="G285" s="46" t="inlineStr">
        <is>
          <t>High Mast</t>
        </is>
      </c>
      <c r="H285" s="48" t="inlineStr">
        <is>
          <t>High Mast</t>
        </is>
      </c>
      <c r="I285" s="49" t="n">
        <v>0</v>
      </c>
      <c r="J285" s="49" t="n">
        <v>0</v>
      </c>
      <c r="K285" s="49" t="n">
        <v>0</v>
      </c>
      <c r="L285" s="46" t="inlineStr">
        <is>
          <t>⚪ รอผล</t>
        </is>
      </c>
      <c r="M285" s="46" t="inlineStr">
        <is>
          <t>ต่ำ</t>
        </is>
      </c>
      <c r="N285" s="46" t="n">
        <v>0</v>
      </c>
      <c r="O285" s="46" t="inlineStr">
        <is>
          <t>—</t>
        </is>
      </c>
      <c r="P285" s="46" t="n"/>
      <c r="Q285" s="46" t="n"/>
      <c r="R285" s="46" t="n"/>
      <c r="S285" s="46" t="n"/>
    </row>
    <row r="286" ht="15" customHeight="1">
      <c r="A286" s="50" t="inlineStr">
        <is>
          <t>PL915</t>
        </is>
      </c>
      <c r="B286" s="50" t="inlineStr">
        <is>
          <t>2026-06</t>
        </is>
      </c>
      <c r="C286" s="51" t="inlineStr">
        <is>
          <t>ภิรมย์ กรุ๊ป</t>
        </is>
      </c>
      <c r="D286" s="50" t="inlineStr">
        <is>
          <t>B2B อื่นๆ</t>
        </is>
      </c>
      <c r="E286" s="50" t="inlineStr">
        <is>
          <t>LKT. 2026-06 -PL915</t>
        </is>
      </c>
      <c r="F286" s="50" t="n"/>
      <c r="G286" s="50" t="inlineStr">
        <is>
          <t>High Mast</t>
        </is>
      </c>
      <c r="H286" s="52" t="inlineStr">
        <is>
          <t>High mast Pole 25 M วงแหวน 10 โคม เหล็ก 6.0,4.5 มม.</t>
        </is>
      </c>
      <c r="I286" s="53" t="n">
        <v>8912316</v>
      </c>
      <c r="J286" s="53" t="n">
        <v>623862.12</v>
      </c>
      <c r="K286" s="53" t="n">
        <v>9536178.119999999</v>
      </c>
      <c r="L286" s="50" t="inlineStr">
        <is>
          <t>🔥 ร้อน</t>
        </is>
      </c>
      <c r="M286" s="50" t="inlineStr">
        <is>
          <t>สูงมาก</t>
        </is>
      </c>
      <c r="N286" s="50" t="n">
        <v>1</v>
      </c>
      <c r="O286" s="50" t="inlineStr">
        <is>
          <t>—</t>
        </is>
      </c>
      <c r="P286" s="50" t="n"/>
      <c r="Q286" s="50" t="n"/>
      <c r="R286" s="50" t="n"/>
      <c r="S286" s="50" t="n"/>
    </row>
    <row r="287" ht="15" customHeight="1">
      <c r="A287" s="46" t="inlineStr">
        <is>
          <t>PL916</t>
        </is>
      </c>
      <c r="B287" s="46" t="inlineStr">
        <is>
          <t>2026-06</t>
        </is>
      </c>
      <c r="C287" s="47" t="inlineStr">
        <is>
          <t>บรอดัส โปรเจก</t>
        </is>
      </c>
      <c r="D287" s="46" t="inlineStr">
        <is>
          <t>B2B อื่นๆ</t>
        </is>
      </c>
      <c r="E287" s="46" t="inlineStr">
        <is>
          <t>LKT. 2026-06 -PL916</t>
        </is>
      </c>
      <c r="F287" s="46" t="n"/>
      <c r="G287" s="46" t="inlineStr">
        <is>
          <t>อื่นๆ</t>
        </is>
      </c>
      <c r="H287" s="48" t="inlineStr">
        <is>
          <t>J-Bolt 1"(≥M25)400mm+Nut+Washer HDG</t>
        </is>
      </c>
      <c r="I287" s="49" t="n">
        <v>2640</v>
      </c>
      <c r="J287" s="49" t="n">
        <v>184.8</v>
      </c>
      <c r="K287" s="49" t="n">
        <v>2824.8</v>
      </c>
      <c r="L287" s="46" t="inlineStr">
        <is>
          <t>⚪ รอผล</t>
        </is>
      </c>
      <c r="M287" s="46" t="inlineStr">
        <is>
          <t>ต่ำ</t>
        </is>
      </c>
      <c r="N287" s="46" t="n">
        <v>1</v>
      </c>
      <c r="O287" s="46" t="inlineStr">
        <is>
          <t>—</t>
        </is>
      </c>
      <c r="P287" s="46" t="n"/>
      <c r="Q287" s="46" t="n"/>
      <c r="R287" s="46" t="n"/>
      <c r="S287" s="46" t="n"/>
    </row>
    <row r="288" ht="15" customHeight="1">
      <c r="A288" s="38" t="inlineStr">
        <is>
          <t>PL917</t>
        </is>
      </c>
      <c r="B288" s="38" t="inlineStr">
        <is>
          <t>2026-06</t>
        </is>
      </c>
      <c r="C288" s="39" t="inlineStr">
        <is>
          <t>พี สเตป เอ็นจิเนียริ่ง</t>
        </is>
      </c>
      <c r="D288" s="38" t="inlineStr">
        <is>
          <t>B2B อื่นๆ</t>
        </is>
      </c>
      <c r="E288" s="38" t="inlineStr">
        <is>
          <t>LKT. 2026-06 -PL917</t>
        </is>
      </c>
      <c r="F288" s="38" t="n"/>
      <c r="G288" s="38" t="inlineStr">
        <is>
          <t>High Mast</t>
        </is>
      </c>
      <c r="H288" s="40" t="inlineStr">
        <is>
          <t>High mast Pole 20 M วงแหวน 8 โคม เหล็ก 4.5 มม.</t>
        </is>
      </c>
      <c r="I288" s="41" t="n">
        <v>572124</v>
      </c>
      <c r="J288" s="41" t="n">
        <v>40048.68</v>
      </c>
      <c r="K288" s="41" t="n">
        <v>612172.6800000001</v>
      </c>
      <c r="L288" s="38" t="inlineStr">
        <is>
          <t>📋 ติดตาม</t>
        </is>
      </c>
      <c r="M288" s="38" t="inlineStr">
        <is>
          <t>กลาง</t>
        </is>
      </c>
      <c r="N288" s="38" t="n">
        <v>1</v>
      </c>
      <c r="O288" s="38" t="inlineStr">
        <is>
          <t>—</t>
        </is>
      </c>
      <c r="P288" s="38" t="n"/>
      <c r="Q288" s="38" t="n"/>
      <c r="R288" s="38" t="n"/>
      <c r="S288" s="38" t="n"/>
    </row>
    <row r="289" ht="15" customHeight="1">
      <c r="A289" s="46" t="inlineStr">
        <is>
          <t>PL918</t>
        </is>
      </c>
      <c r="B289" s="46" t="inlineStr">
        <is>
          <t>2026-06</t>
        </is>
      </c>
      <c r="C289" s="47" t="inlineStr">
        <is>
          <t>เอเอ็มพี โซลูชั่นส์ ครอป</t>
        </is>
      </c>
      <c r="D289" s="46" t="inlineStr">
        <is>
          <t>B2B อื่นๆ</t>
        </is>
      </c>
      <c r="E289" s="46" t="inlineStr">
        <is>
          <t>LKT. 2026-06-PL918</t>
        </is>
      </c>
      <c r="F289" s="46" t="n"/>
      <c r="G289" s="46" t="inlineStr">
        <is>
          <t>High Mast</t>
        </is>
      </c>
      <c r="H289" s="48" t="inlineStr">
        <is>
          <t>High mast Pole 20 M วงแหวน 8 โคม เหล็ก 4.5 มม.</t>
        </is>
      </c>
      <c r="I289" s="49" t="n">
        <v>148398.96</v>
      </c>
      <c r="J289" s="49" t="n">
        <v>10387.93</v>
      </c>
      <c r="K289" s="49" t="n">
        <v>158786.89</v>
      </c>
      <c r="L289" s="46" t="inlineStr">
        <is>
          <t>⚪ รอผล</t>
        </is>
      </c>
      <c r="M289" s="46" t="inlineStr">
        <is>
          <t>ต่ำ</t>
        </is>
      </c>
      <c r="N289" s="46" t="n">
        <v>1</v>
      </c>
      <c r="O289" s="46" t="inlineStr">
        <is>
          <t>—</t>
        </is>
      </c>
      <c r="P289" s="46" t="n"/>
      <c r="Q289" s="46" t="n"/>
      <c r="R289" s="46" t="n"/>
      <c r="S289" s="46" t="n"/>
    </row>
    <row r="290" ht="15" customHeight="1">
      <c r="A290" s="50" t="inlineStr">
        <is>
          <t>PL919</t>
        </is>
      </c>
      <c r="B290" s="50" t="inlineStr">
        <is>
          <t>2026-06</t>
        </is>
      </c>
      <c r="C290" s="51" t="inlineStr">
        <is>
          <t>วันชัยการไฟฟ้า 2019</t>
        </is>
      </c>
      <c r="D290" s="50" t="inlineStr">
        <is>
          <t>B2B อื่นๆ</t>
        </is>
      </c>
      <c r="E290" s="50" t="inlineStr">
        <is>
          <t>LKT. 2026-06 -PL919</t>
        </is>
      </c>
      <c r="F290" s="50" t="inlineStr">
        <is>
          <t>12 พฤษภาคม 2026</t>
        </is>
      </c>
      <c r="G290" s="50" t="inlineStr">
        <is>
          <t>High Mast</t>
        </is>
      </c>
      <c r="H290" s="52" t="inlineStr">
        <is>
          <t>HIGH MAST POLE 20M วงแหวน 8โคม</t>
        </is>
      </c>
      <c r="I290" s="53" t="n">
        <v>3344563.6</v>
      </c>
      <c r="J290" s="53" t="n">
        <v>234119.45</v>
      </c>
      <c r="K290" s="53" t="n">
        <v>3578683.05</v>
      </c>
      <c r="L290" s="50" t="inlineStr">
        <is>
          <t>🔥 ร้อน</t>
        </is>
      </c>
      <c r="M290" s="50" t="inlineStr">
        <is>
          <t>สูงมาก</t>
        </is>
      </c>
      <c r="N290" s="50" t="n">
        <v>1</v>
      </c>
      <c r="O290" s="50" t="inlineStr">
        <is>
          <t>—</t>
        </is>
      </c>
      <c r="P290" s="50" t="n"/>
      <c r="Q290" s="50" t="n"/>
      <c r="R290" s="50" t="n"/>
      <c r="S290" s="50" t="n"/>
    </row>
    <row r="291" ht="15" customHeight="1">
      <c r="A291" s="38" t="inlineStr">
        <is>
          <t>PL920</t>
        </is>
      </c>
      <c r="B291" s="38" t="inlineStr">
        <is>
          <t>2026-06</t>
        </is>
      </c>
      <c r="C291" s="39" t="inlineStr">
        <is>
          <t>ณัชนันท์ พีเอ</t>
        </is>
      </c>
      <c r="D291" s="38" t="inlineStr">
        <is>
          <t>B2B อื่นๆ</t>
        </is>
      </c>
      <c r="E291" s="38" t="inlineStr">
        <is>
          <t>LKT. 2026-06 -PL920</t>
        </is>
      </c>
      <c r="F291" s="38" t="n"/>
      <c r="G291" s="38" t="inlineStr">
        <is>
          <t>เสาไฟถนน</t>
        </is>
      </c>
      <c r="H291" s="40" t="inlineStr">
        <is>
          <t>Post Top Pole ตัว T 15 M+Arm Bracket 2 ชั้น 6โคม</t>
        </is>
      </c>
      <c r="I291" s="41" t="n">
        <v>428652</v>
      </c>
      <c r="J291" s="41" t="n">
        <v>30005.64</v>
      </c>
      <c r="K291" s="41" t="n">
        <v>458657.64</v>
      </c>
      <c r="L291" s="38" t="inlineStr">
        <is>
          <t>📋 ติดตาม</t>
        </is>
      </c>
      <c r="M291" s="38" t="inlineStr">
        <is>
          <t>กลาง</t>
        </is>
      </c>
      <c r="N291" s="38" t="n">
        <v>1</v>
      </c>
      <c r="O291" s="38" t="inlineStr">
        <is>
          <t>—</t>
        </is>
      </c>
      <c r="P291" s="38" t="n"/>
      <c r="Q291" s="38" t="n"/>
      <c r="R291" s="38" t="n"/>
      <c r="S291" s="38" t="n"/>
    </row>
    <row r="292" ht="15" customHeight="1">
      <c r="A292" s="46" t="inlineStr">
        <is>
          <t>PL921</t>
        </is>
      </c>
      <c r="B292" s="46" t="inlineStr">
        <is>
          <t>2026-06</t>
        </is>
      </c>
      <c r="C292" s="47" t="inlineStr">
        <is>
          <t>ไอ.ที.บอร์ด จำกัด</t>
        </is>
      </c>
      <c r="D292" s="46" t="inlineStr">
        <is>
          <t>B2B บริษัท</t>
        </is>
      </c>
      <c r="E292" s="46" t="inlineStr">
        <is>
          <t>LKT. 2026-06-PL921</t>
        </is>
      </c>
      <c r="F292" s="46" t="n"/>
      <c r="G292" s="46" t="inlineStr">
        <is>
          <t>อื่นๆ</t>
        </is>
      </c>
      <c r="H292" s="48" t="inlineStr">
        <is>
          <t>อื่นๆ</t>
        </is>
      </c>
      <c r="I292" s="49" t="n">
        <v>148274</v>
      </c>
      <c r="J292" s="49" t="n">
        <v>10379.18</v>
      </c>
      <c r="K292" s="49" t="n">
        <v>158653.18</v>
      </c>
      <c r="L292" s="46" t="inlineStr">
        <is>
          <t>⚪ รอผล</t>
        </is>
      </c>
      <c r="M292" s="46" t="inlineStr">
        <is>
          <t>ต่ำ</t>
        </is>
      </c>
      <c r="N292" s="46" t="n">
        <v>0</v>
      </c>
      <c r="O292" s="46" t="inlineStr">
        <is>
          <t>—</t>
        </is>
      </c>
      <c r="P292" s="46" t="n"/>
      <c r="Q292" s="46" t="n"/>
      <c r="R292" s="46" t="n"/>
      <c r="S292" s="46" t="n"/>
    </row>
    <row r="293" ht="15" customHeight="1">
      <c r="A293" s="46" t="inlineStr">
        <is>
          <t>PL922</t>
        </is>
      </c>
      <c r="B293" s="46" t="inlineStr">
        <is>
          <t>2026-06</t>
        </is>
      </c>
      <c r="C293" s="47" t="inlineStr">
        <is>
          <t>พรุดินนา ดีไซน์</t>
        </is>
      </c>
      <c r="D293" s="46" t="inlineStr">
        <is>
          <t>B2B อื่นๆ</t>
        </is>
      </c>
      <c r="E293" s="46" t="inlineStr">
        <is>
          <t>LKT. 2026-06-PL922</t>
        </is>
      </c>
      <c r="F293" s="46" t="n"/>
      <c r="G293" s="46" t="inlineStr">
        <is>
          <t>Guard Rail / การ์ดเรล</t>
        </is>
      </c>
      <c r="H293" s="48" t="inlineStr">
        <is>
          <t>เสาการดเรล OD100 H2.0M</t>
        </is>
      </c>
      <c r="I293" s="49" t="n">
        <v>182056.39</v>
      </c>
      <c r="J293" s="49" t="n">
        <v>12743.95</v>
      </c>
      <c r="K293" s="49" t="n">
        <v>194800.34</v>
      </c>
      <c r="L293" s="46" t="inlineStr">
        <is>
          <t>⚪ รอผล</t>
        </is>
      </c>
      <c r="M293" s="46" t="inlineStr">
        <is>
          <t>ต่ำ</t>
        </is>
      </c>
      <c r="N293" s="46" t="n">
        <v>1</v>
      </c>
      <c r="O293" s="46" t="inlineStr">
        <is>
          <t>—</t>
        </is>
      </c>
      <c r="P293" s="46" t="n"/>
      <c r="Q293" s="46" t="n"/>
      <c r="R293" s="46" t="n"/>
      <c r="S293" s="46" t="n"/>
    </row>
    <row r="294" ht="15" customHeight="1">
      <c r="A294" s="38" t="inlineStr">
        <is>
          <t>PL923</t>
        </is>
      </c>
      <c r="B294" s="38" t="inlineStr">
        <is>
          <t>2026-06</t>
        </is>
      </c>
      <c r="C294" s="39" t="inlineStr">
        <is>
          <t>เดลต้า พลัส เอ็นจิเนียริ่ง</t>
        </is>
      </c>
      <c r="D294" s="38" t="inlineStr">
        <is>
          <t>B2B อื่นๆ</t>
        </is>
      </c>
      <c r="E294" s="38" t="inlineStr">
        <is>
          <t>LKT. 2026-06-PL923</t>
        </is>
      </c>
      <c r="F294" s="38" t="n"/>
      <c r="G294" s="38" t="inlineStr">
        <is>
          <t>High Mast</t>
        </is>
      </c>
      <c r="H294" s="40" t="inlineStr">
        <is>
          <t>High Mast 10M 6t+Support 2ชั้น H700 L3600 6โคม</t>
        </is>
      </c>
      <c r="I294" s="41" t="n">
        <v>440200</v>
      </c>
      <c r="J294" s="41" t="n">
        <v>30814</v>
      </c>
      <c r="K294" s="41" t="n">
        <v>471014</v>
      </c>
      <c r="L294" s="38" t="inlineStr">
        <is>
          <t>📋 ติดตาม</t>
        </is>
      </c>
      <c r="M294" s="38" t="inlineStr">
        <is>
          <t>กลาง</t>
        </is>
      </c>
      <c r="N294" s="38" t="n">
        <v>1</v>
      </c>
      <c r="O294" s="38" t="inlineStr">
        <is>
          <t>DOA</t>
        </is>
      </c>
      <c r="P294" s="38" t="n"/>
      <c r="Q294" s="38" t="n"/>
      <c r="R294" s="38" t="n"/>
      <c r="S294" s="38" t="n"/>
    </row>
    <row r="295" ht="15" customHeight="1">
      <c r="A295" s="42" t="inlineStr">
        <is>
          <t>PL924</t>
        </is>
      </c>
      <c r="B295" s="42" t="inlineStr">
        <is>
          <t>2026-06</t>
        </is>
      </c>
      <c r="C295" s="43" t="inlineStr">
        <is>
          <t>บริษัท บริลลิแอนซ์ จำกัด</t>
        </is>
      </c>
      <c r="D295" s="42" t="inlineStr">
        <is>
          <t>B2B บริษัท</t>
        </is>
      </c>
      <c r="E295" s="42" t="inlineStr">
        <is>
          <t>LKT. 2026-06 -PL924</t>
        </is>
      </c>
      <c r="F295" s="42" t="n"/>
      <c r="G295" s="42" t="inlineStr">
        <is>
          <t>เสาไฟถนน</t>
        </is>
      </c>
      <c r="H295" s="44" t="inlineStr">
        <is>
          <t>Post Top PoleตัวT18M+Arm Bracket2ชั้น4โคม+สีดําดาน</t>
        </is>
      </c>
      <c r="I295" s="45" t="n">
        <v>1565000</v>
      </c>
      <c r="J295" s="45" t="n">
        <v>107359</v>
      </c>
      <c r="K295" s="45" t="n">
        <v>1641059</v>
      </c>
      <c r="L295" s="42" t="inlineStr">
        <is>
          <t>📞 ติดตาม-High</t>
        </is>
      </c>
      <c r="M295" s="42" t="inlineStr">
        <is>
          <t>สูง</t>
        </is>
      </c>
      <c r="N295" s="42" t="n">
        <v>1</v>
      </c>
      <c r="O295" s="42" t="inlineStr">
        <is>
          <t>—</t>
        </is>
      </c>
      <c r="P295" s="42" t="n"/>
      <c r="Q295" s="42" t="n"/>
      <c r="R295" s="42" t="n"/>
      <c r="S295" s="42" t="n"/>
    </row>
    <row r="296" ht="15" customHeight="1">
      <c r="A296" s="46" t="inlineStr">
        <is>
          <t>PL925</t>
        </is>
      </c>
      <c r="B296" s="46" t="inlineStr">
        <is>
          <t>2026-06</t>
        </is>
      </c>
      <c r="C296" s="47" t="inlineStr">
        <is>
          <t>หจก  อนุรักษ์วิศวกรรม2508</t>
        </is>
      </c>
      <c r="D296" s="46" t="inlineStr">
        <is>
          <t>B2B หจก.</t>
        </is>
      </c>
      <c r="E296" s="46" t="inlineStr">
        <is>
          <t>LKT. 2026-06-PL925</t>
        </is>
      </c>
      <c r="F296" s="46" t="n"/>
      <c r="G296" s="46" t="inlineStr">
        <is>
          <t>อื่นๆ</t>
        </is>
      </c>
      <c r="H296" s="48" t="inlineStr">
        <is>
          <t>อื่นๆ</t>
        </is>
      </c>
      <c r="I296" s="49" t="n">
        <v>176134.54</v>
      </c>
      <c r="J296" s="49" t="n">
        <v>12329.42</v>
      </c>
      <c r="K296" s="49" t="n">
        <v>188463.96</v>
      </c>
      <c r="L296" s="46" t="inlineStr">
        <is>
          <t>⚪ รอผล</t>
        </is>
      </c>
      <c r="M296" s="46" t="inlineStr">
        <is>
          <t>ต่ำ</t>
        </is>
      </c>
      <c r="N296" s="46" t="n">
        <v>0</v>
      </c>
      <c r="O296" s="46" t="inlineStr">
        <is>
          <t>—</t>
        </is>
      </c>
      <c r="P296" s="46" t="n"/>
      <c r="Q296" s="46" t="n"/>
      <c r="R296" s="46" t="n"/>
      <c r="S296" s="46" t="n"/>
    </row>
    <row r="297" ht="15" customHeight="1">
      <c r="A297" s="46" t="inlineStr">
        <is>
          <t>PL926</t>
        </is>
      </c>
      <c r="B297" s="46" t="inlineStr">
        <is>
          <t>2026-06</t>
        </is>
      </c>
      <c r="C297" s="47" t="inlineStr">
        <is>
          <t>นฤมล</t>
        </is>
      </c>
      <c r="D297" s="46" t="inlineStr">
        <is>
          <t>B2B อื่นๆ</t>
        </is>
      </c>
      <c r="E297" s="46" t="inlineStr">
        <is>
          <t>LKT. 2026-06 -PL926</t>
        </is>
      </c>
      <c r="F297" s="46" t="n"/>
      <c r="G297" s="46" t="inlineStr">
        <is>
          <t>เสาไฟถนน</t>
        </is>
      </c>
      <c r="H297" s="48" t="inlineStr">
        <is>
          <t>Pole With Bracket 7M-T4-TR</t>
        </is>
      </c>
      <c r="I297" s="49" t="n">
        <v>120785</v>
      </c>
      <c r="J297" s="49" t="n">
        <v>8454.950000000001</v>
      </c>
      <c r="K297" s="49" t="n">
        <v>129239.95</v>
      </c>
      <c r="L297" s="46" t="inlineStr">
        <is>
          <t>⚪ รอผล</t>
        </is>
      </c>
      <c r="M297" s="46" t="inlineStr">
        <is>
          <t>ต่ำ</t>
        </is>
      </c>
      <c r="N297" s="46" t="n">
        <v>1</v>
      </c>
      <c r="O297" s="46" t="inlineStr">
        <is>
          <t>—</t>
        </is>
      </c>
      <c r="P297" s="46" t="n"/>
      <c r="Q297" s="46" t="n"/>
      <c r="R297" s="46" t="n"/>
      <c r="S297" s="46" t="n"/>
    </row>
    <row r="298" ht="15" customHeight="1">
      <c r="A298" s="38" t="inlineStr">
        <is>
          <t>PL927</t>
        </is>
      </c>
      <c r="B298" s="38" t="inlineStr">
        <is>
          <t>2026-06</t>
        </is>
      </c>
      <c r="C298" s="39" t="inlineStr">
        <is>
          <t>บ.ศุภฤทธิ</t>
        </is>
      </c>
      <c r="D298" s="38" t="inlineStr">
        <is>
          <t>B2B อื่นๆ</t>
        </is>
      </c>
      <c r="E298" s="38" t="inlineStr">
        <is>
          <t>LKT. 2026-06-PL927</t>
        </is>
      </c>
      <c r="F298" s="38" t="inlineStr">
        <is>
          <t>29 เมษายน 2026</t>
        </is>
      </c>
      <c r="G298" s="38" t="inlineStr">
        <is>
          <t>เสาไฟถนน</t>
        </is>
      </c>
      <c r="H298" s="40" t="inlineStr">
        <is>
          <t>Pole With Bracket 9M-T4-TR</t>
        </is>
      </c>
      <c r="I298" s="41" t="n">
        <v>455112</v>
      </c>
      <c r="J298" s="41" t="n">
        <v>31857.84</v>
      </c>
      <c r="K298" s="41" t="n">
        <v>486969.84</v>
      </c>
      <c r="L298" s="38" t="inlineStr">
        <is>
          <t>📋 ติดตาม</t>
        </is>
      </c>
      <c r="M298" s="38" t="inlineStr">
        <is>
          <t>กลาง</t>
        </is>
      </c>
      <c r="N298" s="38" t="n">
        <v>1</v>
      </c>
      <c r="O298" s="38" t="inlineStr">
        <is>
          <t>—</t>
        </is>
      </c>
      <c r="P298" s="38" t="n"/>
      <c r="Q298" s="38" t="n"/>
      <c r="R298" s="38" t="n"/>
      <c r="S298" s="38" t="n"/>
    </row>
    <row r="299" ht="15" customHeight="1">
      <c r="A299" s="46" t="inlineStr">
        <is>
          <t>PL928</t>
        </is>
      </c>
      <c r="B299" s="46" t="inlineStr">
        <is>
          <t>2026-06</t>
        </is>
      </c>
      <c r="C299" s="47" t="inlineStr">
        <is>
          <t>เอเชีย ซินเทค</t>
        </is>
      </c>
      <c r="D299" s="46" t="inlineStr">
        <is>
          <t>B2B อื่นๆ</t>
        </is>
      </c>
      <c r="E299" s="46" t="inlineStr">
        <is>
          <t>LKT. 2026-06 -PL927</t>
        </is>
      </c>
      <c r="F299" s="46" t="n"/>
      <c r="G299" s="46" t="inlineStr">
        <is>
          <t>เสาไฟถนน</t>
        </is>
      </c>
      <c r="H299" s="48" t="inlineStr">
        <is>
          <t>Pole With Bracket 6M-T4-TR</t>
        </is>
      </c>
      <c r="I299" s="49" t="n">
        <v>207524.8</v>
      </c>
      <c r="J299" s="49" t="n">
        <v>14526.74</v>
      </c>
      <c r="K299" s="49" t="n">
        <v>222051.54</v>
      </c>
      <c r="L299" s="46" t="inlineStr">
        <is>
          <t>⚪ รอผล</t>
        </is>
      </c>
      <c r="M299" s="46" t="inlineStr">
        <is>
          <t>ต่ำ</t>
        </is>
      </c>
      <c r="N299" s="46" t="n">
        <v>1</v>
      </c>
      <c r="O299" s="46" t="inlineStr">
        <is>
          <t>—</t>
        </is>
      </c>
      <c r="P299" s="46" t="n"/>
      <c r="Q299" s="46" t="n"/>
      <c r="R299" s="46" t="n"/>
      <c r="S299" s="46" t="n"/>
    </row>
    <row r="300" ht="15" customHeight="1">
      <c r="A300" s="38" t="inlineStr">
        <is>
          <t>PL929</t>
        </is>
      </c>
      <c r="B300" s="38" t="inlineStr">
        <is>
          <t>2026-06</t>
        </is>
      </c>
      <c r="C300" s="39" t="inlineStr">
        <is>
          <t>เทพชูชัย</t>
        </is>
      </c>
      <c r="D300" s="38" t="inlineStr">
        <is>
          <t>B2B อื่นๆ</t>
        </is>
      </c>
      <c r="E300" s="38" t="inlineStr">
        <is>
          <t>LKT. 2026-06 -PL929</t>
        </is>
      </c>
      <c r="F300" s="38" t="n"/>
      <c r="G300" s="38" t="inlineStr">
        <is>
          <t>High Mast</t>
        </is>
      </c>
      <c r="H300" s="40" t="inlineStr">
        <is>
          <t>High Mast Pole 10 M + วงแหวน 6 โคม PCD530</t>
        </is>
      </c>
      <c r="I300" s="41" t="n">
        <v>478044</v>
      </c>
      <c r="J300" s="41" t="n">
        <v>33463.08</v>
      </c>
      <c r="K300" s="41" t="n">
        <v>511507.08</v>
      </c>
      <c r="L300" s="38" t="inlineStr">
        <is>
          <t>📋 ติดตาม</t>
        </is>
      </c>
      <c r="M300" s="38" t="inlineStr">
        <is>
          <t>กลาง</t>
        </is>
      </c>
      <c r="N300" s="38" t="n">
        <v>1</v>
      </c>
      <c r="O300" s="38" t="inlineStr">
        <is>
          <t>—</t>
        </is>
      </c>
      <c r="P300" s="38" t="n"/>
      <c r="Q300" s="38" t="n"/>
      <c r="R300" s="38" t="n"/>
      <c r="S300" s="38" t="n"/>
    </row>
    <row r="301" ht="15" customHeight="1">
      <c r="A301" s="38" t="inlineStr">
        <is>
          <t>PL930</t>
        </is>
      </c>
      <c r="B301" s="38" t="inlineStr">
        <is>
          <t>2026-06</t>
        </is>
      </c>
      <c r="C301" s="39" t="inlineStr">
        <is>
          <t>เอชาย เทคโนโลยี</t>
        </is>
      </c>
      <c r="D301" s="38" t="inlineStr">
        <is>
          <t>B2B อื่นๆ</t>
        </is>
      </c>
      <c r="E301" s="38" t="inlineStr">
        <is>
          <t>LKT. 2026-06 -PL930</t>
        </is>
      </c>
      <c r="F301" s="38" t="n"/>
      <c r="G301" s="38" t="inlineStr">
        <is>
          <t>LED Streetlight</t>
        </is>
      </c>
      <c r="H301" s="40" t="inlineStr">
        <is>
          <t>RT-7A81-15057 โคมไฟถนน Street Light LED 150W-24000lm</t>
        </is>
      </c>
      <c r="I301" s="41" t="n">
        <v>710010</v>
      </c>
      <c r="J301" s="41" t="n">
        <v>49700.7</v>
      </c>
      <c r="K301" s="41" t="n">
        <v>759710.7</v>
      </c>
      <c r="L301" s="38" t="inlineStr">
        <is>
          <t>📋 ติดตาม</t>
        </is>
      </c>
      <c r="M301" s="38" t="inlineStr">
        <is>
          <t>กลาง</t>
        </is>
      </c>
      <c r="N301" s="38" t="n">
        <v>1</v>
      </c>
      <c r="O301" s="38" t="inlineStr">
        <is>
          <t>—</t>
        </is>
      </c>
      <c r="P301" s="38" t="n"/>
      <c r="Q301" s="38" t="n"/>
      <c r="R301" s="38" t="n"/>
      <c r="S301" s="38" t="n"/>
    </row>
    <row r="302" ht="15" customHeight="1">
      <c r="A302" s="46" t="inlineStr">
        <is>
          <t>PL931</t>
        </is>
      </c>
      <c r="B302" s="46" t="inlineStr">
        <is>
          <t>2026-06</t>
        </is>
      </c>
      <c r="C302" s="47" t="inlineStr">
        <is>
          <t>บ.คินเดน</t>
        </is>
      </c>
      <c r="D302" s="46" t="inlineStr">
        <is>
          <t>B2B อื่นๆ</t>
        </is>
      </c>
      <c r="E302" s="46" t="inlineStr">
        <is>
          <t>LKT. 2026-06-PL931</t>
        </is>
      </c>
      <c r="F302" s="46" t="inlineStr">
        <is>
          <t>29 เมษายน 2026</t>
        </is>
      </c>
      <c r="G302" s="46" t="inlineStr">
        <is>
          <t>อื่นๆ</t>
        </is>
      </c>
      <c r="H302" s="48" t="inlineStr">
        <is>
          <t>อื่นๆ</t>
        </is>
      </c>
      <c r="I302" s="49" t="n">
        <v>0</v>
      </c>
      <c r="J302" s="49" t="n">
        <v>0</v>
      </c>
      <c r="K302" s="49" t="n">
        <v>0</v>
      </c>
      <c r="L302" s="46" t="inlineStr">
        <is>
          <t>⚪ รอผล</t>
        </is>
      </c>
      <c r="M302" s="46" t="inlineStr">
        <is>
          <t>ต่ำ</t>
        </is>
      </c>
      <c r="N302" s="46" t="n">
        <v>0</v>
      </c>
      <c r="O302" s="46" t="inlineStr">
        <is>
          <t>—</t>
        </is>
      </c>
      <c r="P302" s="46" t="n"/>
      <c r="Q302" s="46" t="n"/>
      <c r="R302" s="46" t="n"/>
      <c r="S302" s="46" t="n"/>
    </row>
    <row r="303" ht="15" customHeight="1">
      <c r="A303" s="50" t="inlineStr">
        <is>
          <t>PL932</t>
        </is>
      </c>
      <c r="B303" s="50" t="inlineStr">
        <is>
          <t>2026-06</t>
        </is>
      </c>
      <c r="C303" s="51" t="inlineStr">
        <is>
          <t>ต้นตะวัน</t>
        </is>
      </c>
      <c r="D303" s="50" t="inlineStr">
        <is>
          <t>B2B อื่นๆ</t>
        </is>
      </c>
      <c r="E303" s="50" t="inlineStr">
        <is>
          <t>LKT. 2026-06 -PL932</t>
        </is>
      </c>
      <c r="F303" s="50" t="n"/>
      <c r="G303" s="50" t="inlineStr">
        <is>
          <t>เสาไฟถนน</t>
        </is>
      </c>
      <c r="H303" s="52" t="inlineStr">
        <is>
          <t>Pole With Bracket 12M-T4-TR (ชุบกัลวาไนซอยางเดียว)</t>
        </is>
      </c>
      <c r="I303" s="53" t="n">
        <v>5427607.5</v>
      </c>
      <c r="J303" s="53" t="n">
        <v>379932.53</v>
      </c>
      <c r="K303" s="53" t="n">
        <v>5807540.03</v>
      </c>
      <c r="L303" s="50" t="inlineStr">
        <is>
          <t>🔥 ร้อน</t>
        </is>
      </c>
      <c r="M303" s="50" t="inlineStr">
        <is>
          <t>สูงมาก</t>
        </is>
      </c>
      <c r="N303" s="50" t="n">
        <v>1</v>
      </c>
      <c r="O303" s="50" t="inlineStr">
        <is>
          <t>—</t>
        </is>
      </c>
      <c r="P303" s="50" t="n"/>
      <c r="Q303" s="50" t="n"/>
      <c r="R303" s="50" t="n"/>
      <c r="S303" s="50" t="n"/>
    </row>
    <row r="304" ht="15" customHeight="1">
      <c r="A304" s="42" t="inlineStr">
        <is>
          <t>PL933</t>
        </is>
      </c>
      <c r="B304" s="42" t="inlineStr">
        <is>
          <t>2026-06</t>
        </is>
      </c>
      <c r="C304" s="43" t="inlineStr">
        <is>
          <t>เค บี เอ็ม   18ม.</t>
        </is>
      </c>
      <c r="D304" s="42" t="inlineStr">
        <is>
          <t>B2B อื่นๆ</t>
        </is>
      </c>
      <c r="E304" s="42" t="inlineStr">
        <is>
          <t>LKT. 2026-06 -PL933</t>
        </is>
      </c>
      <c r="F304" s="42" t="n"/>
      <c r="G304" s="42" t="inlineStr">
        <is>
          <t>High Mast</t>
        </is>
      </c>
      <c r="H304" s="44" t="inlineStr">
        <is>
          <t>Set L-Bolt M32 L800 PCD619</t>
        </is>
      </c>
      <c r="I304" s="45" t="n">
        <v>967260</v>
      </c>
      <c r="J304" s="45" t="n">
        <v>67708.2</v>
      </c>
      <c r="K304" s="45" t="n">
        <v>1034968.2</v>
      </c>
      <c r="L304" s="42" t="inlineStr">
        <is>
          <t>📞 ติดตาม-High</t>
        </is>
      </c>
      <c r="M304" s="42" t="inlineStr">
        <is>
          <t>สูง</t>
        </is>
      </c>
      <c r="N304" s="42" t="n">
        <v>1</v>
      </c>
      <c r="O304" s="42" t="inlineStr">
        <is>
          <t>อปท. Supply</t>
        </is>
      </c>
      <c r="P304" s="42" t="n"/>
      <c r="Q304" s="42" t="n"/>
      <c r="R304" s="42" t="n"/>
      <c r="S304" s="42" t="n"/>
    </row>
    <row r="305" ht="15" customHeight="1">
      <c r="A305" s="46" t="inlineStr">
        <is>
          <t>PL934</t>
        </is>
      </c>
      <c r="B305" s="46" t="inlineStr">
        <is>
          <t>2026-06</t>
        </is>
      </c>
      <c r="C305" s="47" t="inlineStr">
        <is>
          <t>รุ่งนภาเพิ่มพูลทรัพย์</t>
        </is>
      </c>
      <c r="D305" s="46" t="inlineStr">
        <is>
          <t>B2B อื่นๆ</t>
        </is>
      </c>
      <c r="E305" s="46" t="inlineStr">
        <is>
          <t>LKT. 2026-06 -PL934</t>
        </is>
      </c>
      <c r="F305" s="46" t="n"/>
      <c r="G305" s="46" t="inlineStr">
        <is>
          <t>High Mast</t>
        </is>
      </c>
      <c r="H305" s="48" t="inlineStr">
        <is>
          <t>High mast Pole 15 M วงแหวน 4 โคม เหล็ก 4.5 มม.</t>
        </is>
      </c>
      <c r="I305" s="49" t="n">
        <v>203252</v>
      </c>
      <c r="J305" s="49" t="n">
        <v>14227.64</v>
      </c>
      <c r="K305" s="49" t="n">
        <v>217479.64</v>
      </c>
      <c r="L305" s="46" t="inlineStr">
        <is>
          <t>⚪ รอผล</t>
        </is>
      </c>
      <c r="M305" s="46" t="inlineStr">
        <is>
          <t>ต่ำ</t>
        </is>
      </c>
      <c r="N305" s="46" t="n">
        <v>1</v>
      </c>
      <c r="O305" s="46" t="inlineStr">
        <is>
          <t>—</t>
        </is>
      </c>
      <c r="P305" s="46" t="n"/>
      <c r="Q305" s="46" t="n"/>
      <c r="R305" s="46" t="n"/>
      <c r="S305" s="46" t="n"/>
    </row>
    <row r="306" ht="15" customHeight="1">
      <c r="A306" s="46" t="inlineStr">
        <is>
          <t>PL935</t>
        </is>
      </c>
      <c r="B306" s="46" t="inlineStr">
        <is>
          <t>2026-06</t>
        </is>
      </c>
      <c r="C306" s="47" t="inlineStr">
        <is>
          <t>สราญใจ พริ้นติ้ง</t>
        </is>
      </c>
      <c r="D306" s="46" t="inlineStr">
        <is>
          <t>B2B อื่นๆ</t>
        </is>
      </c>
      <c r="E306" s="46" t="inlineStr">
        <is>
          <t>LKT. 2026-04 -PL834</t>
        </is>
      </c>
      <c r="F306" s="46" t="inlineStr">
        <is>
          <t>24 เมษายน 2026</t>
        </is>
      </c>
      <c r="G306" s="46" t="inlineStr">
        <is>
          <t>เสาไฟถนน</t>
        </is>
      </c>
      <c r="H306" s="48" t="inlineStr">
        <is>
          <t>เสาตัว T สูง 12M+ Arm Bracket 2โคม H0.5M L1.0M</t>
        </is>
      </c>
      <c r="I306" s="49" t="n">
        <v>133240.8</v>
      </c>
      <c r="J306" s="49" t="n">
        <v>9326.860000000001</v>
      </c>
      <c r="K306" s="49" t="n">
        <v>142567.66</v>
      </c>
      <c r="L306" s="46" t="inlineStr">
        <is>
          <t>⚪ รอผล</t>
        </is>
      </c>
      <c r="M306" s="46" t="inlineStr">
        <is>
          <t>ต่ำ</t>
        </is>
      </c>
      <c r="N306" s="46" t="n">
        <v>1</v>
      </c>
      <c r="O306" s="46" t="inlineStr">
        <is>
          <t>—</t>
        </is>
      </c>
      <c r="P306" s="46" t="n"/>
      <c r="Q306" s="46" t="n"/>
      <c r="R306" s="46" t="n"/>
      <c r="S306" s="46" t="n"/>
    </row>
    <row r="307" ht="15" customHeight="1">
      <c r="A307" s="38" t="inlineStr">
        <is>
          <t>PL936</t>
        </is>
      </c>
      <c r="B307" s="38" t="inlineStr">
        <is>
          <t>2026-06</t>
        </is>
      </c>
      <c r="C307" s="39" t="inlineStr">
        <is>
          <t>คุณนพกร</t>
        </is>
      </c>
      <c r="D307" s="38" t="inlineStr">
        <is>
          <t>B2C บุคคล</t>
        </is>
      </c>
      <c r="E307" s="38" t="inlineStr">
        <is>
          <t>LKT. 2026-06 -PL936</t>
        </is>
      </c>
      <c r="F307" s="38" t="inlineStr">
        <is>
          <t>12 มิถุนายน 2026</t>
        </is>
      </c>
      <c r="G307" s="38" t="inlineStr">
        <is>
          <t>Guard Rail / การ์ดเรล</t>
        </is>
      </c>
      <c r="H307" s="40" t="inlineStr">
        <is>
          <t>การ์ดเรล Ø48.3×2.5t สีขาว-แดง</t>
        </is>
      </c>
      <c r="I307" s="41" t="n">
        <v>299651.52</v>
      </c>
      <c r="J307" s="41" t="n">
        <v>20975.61</v>
      </c>
      <c r="K307" s="41" t="n">
        <v>320627.13</v>
      </c>
      <c r="L307" s="38" t="inlineStr">
        <is>
          <t>📋 ติดตาม</t>
        </is>
      </c>
      <c r="M307" s="38" t="inlineStr">
        <is>
          <t>กลาง</t>
        </is>
      </c>
      <c r="N307" s="38" t="n">
        <v>1</v>
      </c>
      <c r="O307" s="38" t="inlineStr">
        <is>
          <t>—</t>
        </is>
      </c>
      <c r="P307" s="38" t="n"/>
      <c r="Q307" s="38" t="n"/>
      <c r="R307" s="38" t="n"/>
      <c r="S307" s="38" t="n"/>
    </row>
    <row r="308" ht="15" customHeight="1">
      <c r="A308" s="42" t="inlineStr">
        <is>
          <t>PL938</t>
        </is>
      </c>
      <c r="B308" s="42" t="inlineStr">
        <is>
          <t>2026-06</t>
        </is>
      </c>
      <c r="C308" s="43" t="inlineStr">
        <is>
          <t>เทศบาลเมืองตราด</t>
        </is>
      </c>
      <c r="D308" s="42" t="inlineStr">
        <is>
          <t>B2G อปท.</t>
        </is>
      </c>
      <c r="E308" s="42" t="inlineStr">
        <is>
          <t>LKT. 2026-06 -PL938</t>
        </is>
      </c>
      <c r="F308" s="42" t="inlineStr">
        <is>
          <t>16 มิถุนายน 2026</t>
        </is>
      </c>
      <c r="G308" s="42" t="inlineStr">
        <is>
          <t>High Mast</t>
        </is>
      </c>
      <c r="H308" s="44" t="inlineStr">
        <is>
          <t>High Mast 15M+Floodlight 400W+HDPE Pipe+Cable</t>
        </is>
      </c>
      <c r="I308" s="45" t="n">
        <v>1241571.8</v>
      </c>
      <c r="J308" s="45" t="n">
        <v>86910.03</v>
      </c>
      <c r="K308" s="45" t="n">
        <v>1328481.83</v>
      </c>
      <c r="L308" s="42" t="inlineStr">
        <is>
          <t>📞 ติดตาม-High</t>
        </is>
      </c>
      <c r="M308" s="42" t="inlineStr">
        <is>
          <t>สูง</t>
        </is>
      </c>
      <c r="N308" s="42" t="n">
        <v>1</v>
      </c>
      <c r="O308" s="42" t="inlineStr">
        <is>
          <t>—</t>
        </is>
      </c>
      <c r="P308" s="42" t="n"/>
      <c r="Q308" s="42" t="n"/>
      <c r="R308" s="42" t="n"/>
      <c r="S308" s="42" t="n"/>
    </row>
    <row r="309" ht="15" customHeight="1">
      <c r="A309" s="38" t="inlineStr">
        <is>
          <t>PL939</t>
        </is>
      </c>
      <c r="B309" s="38" t="inlineStr">
        <is>
          <t>2026-06</t>
        </is>
      </c>
      <c r="C309" s="39" t="inlineStr">
        <is>
          <t>องค์การบริหารส่วนตำบลตาขัน</t>
        </is>
      </c>
      <c r="D309" s="38" t="inlineStr">
        <is>
          <t>B2G อปท.</t>
        </is>
      </c>
      <c r="E309" s="38" t="inlineStr">
        <is>
          <t>LKT. 2026-06 -PL939</t>
        </is>
      </c>
      <c r="F309" s="38" t="inlineStr">
        <is>
          <t>12 มิถุนายน 2026</t>
        </is>
      </c>
      <c r="G309" s="38" t="inlineStr">
        <is>
          <t>Guard Rail / การ์ดเรล</t>
        </is>
      </c>
      <c r="H309" s="40" t="inlineStr">
        <is>
          <t>การ์ดเรล Ø60.3×3.2t สีเทา</t>
        </is>
      </c>
      <c r="I309" s="41" t="n">
        <v>845503.41</v>
      </c>
      <c r="J309" s="41" t="n">
        <v>59185.24</v>
      </c>
      <c r="K309" s="41" t="n">
        <v>904688.65</v>
      </c>
      <c r="L309" s="38" t="inlineStr">
        <is>
          <t>📋 ติดตาม</t>
        </is>
      </c>
      <c r="M309" s="38" t="inlineStr">
        <is>
          <t>กลาง</t>
        </is>
      </c>
      <c r="N309" s="38" t="n">
        <v>1</v>
      </c>
      <c r="O309" s="38" t="inlineStr">
        <is>
          <t>—</t>
        </is>
      </c>
      <c r="P309" s="38" t="n"/>
      <c r="Q309" s="38" t="n"/>
      <c r="R309" s="38" t="n"/>
      <c r="S309" s="38" t="n"/>
    </row>
    <row r="310" ht="15" customHeight="1">
      <c r="A310" s="42" t="inlineStr">
        <is>
          <t>PL940</t>
        </is>
      </c>
      <c r="B310" s="42" t="inlineStr">
        <is>
          <t>2026-06</t>
        </is>
      </c>
      <c r="C310" s="43" t="inlineStr">
        <is>
          <t>บริษัท โพรเซสเอ็นจิเนียรแอนดคอนซัลแทนท จำกัด</t>
        </is>
      </c>
      <c r="D310" s="42" t="inlineStr">
        <is>
          <t>B2B บริษัท</t>
        </is>
      </c>
      <c r="E310" s="42" t="inlineStr">
        <is>
          <t>LKT. 2026-06 -PL940</t>
        </is>
      </c>
      <c r="F310" s="42" t="inlineStr">
        <is>
          <t>15 มิถุนายน 2026</t>
        </is>
      </c>
      <c r="G310" s="42" t="inlineStr">
        <is>
          <t>High Mast</t>
        </is>
      </c>
      <c r="H310" s="44" t="inlineStr">
        <is>
          <t>High Mast 20M+Floodlight 400W (REV.ใหม่ แทน PL857)</t>
        </is>
      </c>
      <c r="I310" s="45" t="n">
        <v>1009576</v>
      </c>
      <c r="J310" s="45" t="n">
        <v>70670.32000000001</v>
      </c>
      <c r="K310" s="45" t="n">
        <v>1080246.32</v>
      </c>
      <c r="L310" s="42" t="inlineStr">
        <is>
          <t>📞 ติดตาม-High</t>
        </is>
      </c>
      <c r="M310" s="42" t="inlineStr">
        <is>
          <t>สูง</t>
        </is>
      </c>
      <c r="N310" s="42" t="n">
        <v>1</v>
      </c>
      <c r="O310" s="42" t="inlineStr">
        <is>
          <t>—</t>
        </is>
      </c>
      <c r="P310" s="42" t="n"/>
      <c r="Q310" s="42" t="n"/>
      <c r="R310" s="42" t="n"/>
      <c r="S310" s="42" t="n"/>
    </row>
    <row r="311" ht="15" customHeight="1">
      <c r="A311" s="46" t="inlineStr">
        <is>
          <t>PL941</t>
        </is>
      </c>
      <c r="B311" s="46" t="inlineStr">
        <is>
          <t>2026-06</t>
        </is>
      </c>
      <c r="C311" s="47" t="inlineStr">
        <is>
          <t>นิติบุคคลหมู่บ้านจัดสรรเดอะลากูน</t>
        </is>
      </c>
      <c r="D311" s="46" t="inlineStr">
        <is>
          <t>B2B อื่นๆ</t>
        </is>
      </c>
      <c r="E311" s="46" t="inlineStr">
        <is>
          <t>LKT. 2026-06 -PL941</t>
        </is>
      </c>
      <c r="F311" s="46" t="inlineStr">
        <is>
          <t>15 มิถุนายน 2026</t>
        </is>
      </c>
      <c r="G311" s="46" t="inlineStr">
        <is>
          <t>เสาไฟถนน</t>
        </is>
      </c>
      <c r="H311" s="48" t="inlineStr">
        <is>
          <t>Post Top 6M+Lamp</t>
        </is>
      </c>
      <c r="I311" s="49" t="n">
        <v>60799.2</v>
      </c>
      <c r="J311" s="49" t="n">
        <v>4255.94</v>
      </c>
      <c r="K311" s="49" t="n">
        <v>65055.14</v>
      </c>
      <c r="L311" s="46" t="inlineStr">
        <is>
          <t>⚪ รอผล</t>
        </is>
      </c>
      <c r="M311" s="46" t="inlineStr">
        <is>
          <t>ต่ำ</t>
        </is>
      </c>
      <c r="N311" s="46" t="n">
        <v>1</v>
      </c>
      <c r="O311" s="46" t="inlineStr">
        <is>
          <t>—</t>
        </is>
      </c>
      <c r="P311" s="46" t="n"/>
      <c r="Q311" s="46" t="n"/>
      <c r="R311" s="46" t="n"/>
      <c r="S311" s="46" t="n"/>
    </row>
    <row r="312" ht="15" customHeight="1">
      <c r="A312" s="46" t="inlineStr">
        <is>
          <t>PL942</t>
        </is>
      </c>
      <c r="B312" s="46" t="inlineStr">
        <is>
          <t>2026-06</t>
        </is>
      </c>
      <c r="C312" s="47" t="inlineStr">
        <is>
          <t>สำนักงานเทศบาลนครมาบตาพุด</t>
        </is>
      </c>
      <c r="D312" s="46" t="inlineStr">
        <is>
          <t>B2G อปท.</t>
        </is>
      </c>
      <c r="E312" s="46" t="inlineStr">
        <is>
          <t>LKT. 2026-06 -PL942</t>
        </is>
      </c>
      <c r="F312" s="46" t="inlineStr">
        <is>
          <t>15 มิถุนายน 2026</t>
        </is>
      </c>
      <c r="G312" s="46" t="inlineStr">
        <is>
          <t>LED Streetlight</t>
        </is>
      </c>
      <c r="H312" s="48" t="inlineStr">
        <is>
          <t>LED Streetlight 120W×19 ชุด</t>
        </is>
      </c>
      <c r="I312" s="49" t="n">
        <v>96824</v>
      </c>
      <c r="J312" s="49" t="n">
        <v>6777.68</v>
      </c>
      <c r="K312" s="49" t="n">
        <v>103601.68</v>
      </c>
      <c r="L312" s="46" t="inlineStr">
        <is>
          <t>⚪ รอผล</t>
        </is>
      </c>
      <c r="M312" s="46" t="inlineStr">
        <is>
          <t>ต่ำ</t>
        </is>
      </c>
      <c r="N312" s="46" t="n">
        <v>1</v>
      </c>
      <c r="O312" s="46" t="inlineStr">
        <is>
          <t>—</t>
        </is>
      </c>
      <c r="P312" s="46" t="n"/>
      <c r="Q312" s="46" t="n"/>
      <c r="R312" s="46" t="n"/>
      <c r="S312" s="46" t="n"/>
    </row>
    <row r="313" ht="15" customHeight="1">
      <c r="A313" s="38" t="inlineStr">
        <is>
          <t>PL943</t>
        </is>
      </c>
      <c r="B313" s="38" t="inlineStr">
        <is>
          <t>2026-06</t>
        </is>
      </c>
      <c r="C313" s="39" t="inlineStr">
        <is>
          <t>บมจ.เมืองไทยประกันชีวิต</t>
        </is>
      </c>
      <c r="D313" s="38" t="inlineStr">
        <is>
          <t>B2B บริษัท</t>
        </is>
      </c>
      <c r="E313" s="38" t="inlineStr">
        <is>
          <t>LKT. 2026-06 -PL943</t>
        </is>
      </c>
      <c r="F313" s="38" t="inlineStr">
        <is>
          <t>16 มิถุนายน 2026</t>
        </is>
      </c>
      <c r="G313" s="38" t="inlineStr">
        <is>
          <t>High Mast</t>
        </is>
      </c>
      <c r="H313" s="40" t="inlineStr">
        <is>
          <t>High Mast 15M+Motor (4 ต้น)+ค่าขนส่ง</t>
        </is>
      </c>
      <c r="I313" s="41" t="n">
        <v>610599</v>
      </c>
      <c r="J313" s="41" t="n">
        <v>42741.93</v>
      </c>
      <c r="K313" s="41" t="n">
        <v>653340.9300000001</v>
      </c>
      <c r="L313" s="38" t="inlineStr">
        <is>
          <t>📋 ติดตาม</t>
        </is>
      </c>
      <c r="M313" s="38" t="inlineStr">
        <is>
          <t>กลาง</t>
        </is>
      </c>
      <c r="N313" s="38" t="n">
        <v>1</v>
      </c>
      <c r="O313" s="38" t="inlineStr">
        <is>
          <t>—</t>
        </is>
      </c>
      <c r="P313" s="38" t="n"/>
      <c r="Q313" s="38" t="n"/>
      <c r="R313" s="38" t="n"/>
      <c r="S313" s="38" t="n"/>
    </row>
    <row r="314" ht="15" customHeight="1">
      <c r="A314" s="46" t="inlineStr">
        <is>
          <t>PL944</t>
        </is>
      </c>
      <c r="B314" s="46" t="inlineStr">
        <is>
          <t>2026-06</t>
        </is>
      </c>
      <c r="C314" s="47" t="inlineStr">
        <is>
          <t>บริษัท ทีเจริญ บิลด จำกัด</t>
        </is>
      </c>
      <c r="D314" s="46" t="inlineStr">
        <is>
          <t>B2B บริษัท</t>
        </is>
      </c>
      <c r="E314" s="46" t="inlineStr">
        <is>
          <t>LKT. 2026-06 -PL944</t>
        </is>
      </c>
      <c r="F314" s="46" t="inlineStr">
        <is>
          <t>16 มิถุนายน 2026</t>
        </is>
      </c>
      <c r="G314" s="46" t="inlineStr">
        <is>
          <t>Guard Rail / การ์ดเรล</t>
        </is>
      </c>
      <c r="H314" s="48" t="inlineStr">
        <is>
          <t>การ์ดเรล Ø48.3×2.5t (small lot)+ค่าส่ง</t>
        </is>
      </c>
      <c r="I314" s="49" t="n">
        <v>15765.28</v>
      </c>
      <c r="J314" s="49" t="n">
        <v>1103.57</v>
      </c>
      <c r="K314" s="49" t="n">
        <v>16868.85</v>
      </c>
      <c r="L314" s="46" t="inlineStr">
        <is>
          <t>⚪ รอผล</t>
        </is>
      </c>
      <c r="M314" s="46" t="inlineStr">
        <is>
          <t>ต่ำ</t>
        </is>
      </c>
      <c r="N314" s="46" t="n">
        <v>1</v>
      </c>
      <c r="O314" s="46" t="inlineStr">
        <is>
          <t>—</t>
        </is>
      </c>
      <c r="P314" s="46" t="n"/>
      <c r="Q314" s="46" t="n"/>
      <c r="R314" s="46" t="n"/>
      <c r="S314" s="46" t="n"/>
    </row>
    <row r="315" ht="15" customHeight="1">
      <c r="A315" s="46" t="inlineStr">
        <is>
          <t>PL945</t>
        </is>
      </c>
      <c r="B315" s="46" t="inlineStr">
        <is>
          <t>2026-06</t>
        </is>
      </c>
      <c r="C315" s="47" t="inlineStr">
        <is>
          <t>บริษัท แอสเซนท คอรปอเรชั่น จำกัด</t>
        </is>
      </c>
      <c r="D315" s="46" t="inlineStr">
        <is>
          <t>B2B บริษัท</t>
        </is>
      </c>
      <c r="E315" s="46" t="inlineStr">
        <is>
          <t>LKT. 2026-06 -PL945</t>
        </is>
      </c>
      <c r="F315" s="46" t="inlineStr">
        <is>
          <t>16 มิถุนายน 2026</t>
        </is>
      </c>
      <c r="G315" s="46" t="inlineStr">
        <is>
          <t>High Mast</t>
        </is>
      </c>
      <c r="H315" s="48" t="inlineStr">
        <is>
          <t>High Mast 15M วงแหวน 6 โคม</t>
        </is>
      </c>
      <c r="I315" s="49" t="n">
        <v>221186</v>
      </c>
      <c r="J315" s="49" t="n">
        <v>15483.02</v>
      </c>
      <c r="K315" s="49" t="n">
        <v>236669.02</v>
      </c>
      <c r="L315" s="46" t="inlineStr">
        <is>
          <t>⚪ รอผล</t>
        </is>
      </c>
      <c r="M315" s="46" t="inlineStr">
        <is>
          <t>ต่ำ</t>
        </is>
      </c>
      <c r="N315" s="46" t="n">
        <v>1</v>
      </c>
      <c r="O315" s="46" t="inlineStr">
        <is>
          <t>—</t>
        </is>
      </c>
      <c r="P315" s="46" t="n"/>
      <c r="Q315" s="46" t="n"/>
      <c r="R315" s="46" t="n"/>
      <c r="S315" s="46" t="n"/>
    </row>
    <row r="316" ht="20" customHeight="1">
      <c r="A316" s="2" t="inlineStr">
        <is>
          <t>GRAND TOTAL  |  311 รายการ  |  ทบทวนแล้ว 16 มิ.ย. 2569</t>
        </is>
      </c>
      <c r="I316" s="54" t="n">
        <v>171846684.88</v>
      </c>
      <c r="J316" s="54" t="n">
        <v>12027076.99</v>
      </c>
      <c r="K316" s="54" t="n">
        <v>183842461.87</v>
      </c>
    </row>
  </sheetData>
  <mergeCells count="6">
    <mergeCell ref="F3:J3"/>
    <mergeCell ref="O3:S3"/>
    <mergeCell ref="K3:N3"/>
    <mergeCell ref="A1:S1"/>
    <mergeCell ref="A316:H316"/>
    <mergeCell ref="A3:E3"/>
  </mergeCells>
  <dataValidations count="1">
    <dataValidation sqref="P5:P315" showDropDown="0" showInputMessage="0" showErrorMessage="0" allowBlank="1" error="กรุณาเลือกจาก Dropdown" prompt="เลือกสถานะตามจริง" type="list">
      <formula1>"✅ปิดได้,🔥ร้อน-ปิดเร็ว,📞กำลังเจรจา,💼ส่ง Proposal แล้ว,⏳รอลูกค้าตอบ,❌พัก/ไม่ซื้อ,🔄Revise ราคา,⚪ยังไม่ติดต่อ"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95C"/>
    <outlinePr summaryBelow="1" summaryRight="1"/>
    <pageSetUpPr/>
  </sheetPr>
  <dimension ref="A1:N20"/>
  <sheetViews>
    <sheetView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4" customWidth="1" min="12" max="12"/>
    <col width="14" customWidth="1" min="13" max="13"/>
    <col width="14" customWidth="1" min="14" max="14"/>
  </cols>
  <sheetData>
    <row r="1" ht="22" customHeight="1">
      <c r="A1" s="1" t="inlineStr">
        <is>
          <t xml:space="preserve">  LeKise  |  STATUS DASHBOARD  |  อัปเดตอัตโนมัติจาก CRM Table  |  กรอกสถานะตามจริงที่ Column P ใน CRM Table</t>
        </is>
      </c>
    </row>
    <row r="2" ht="6" customHeight="1"/>
    <row r="3" ht="18" customHeight="1">
      <c r="A3" s="55" t="inlineStr">
        <is>
          <t xml:space="preserve">  💡  วิธีใช้: ไปที่ Sheet 📋 CRM Table → คอลัมน์ P "★ สถานะตามจริง" → เลือก Dropdown  |  Dashboard นี้จะ Update อัตโนมัติ</t>
        </is>
      </c>
    </row>
    <row r="5" ht="24" customHeight="1">
      <c r="A5" s="22" t="inlineStr">
        <is>
          <t>สถานะตามจริง</t>
        </is>
      </c>
      <c r="B5" s="22" t="inlineStr">
        <is>
          <t>จำนวนใบ</t>
        </is>
      </c>
      <c r="C5" s="22" t="inlineStr">
        <is>
          <t>มูลค่ารวม (฿)</t>
        </is>
      </c>
      <c r="D5" s="22" t="inlineStr">
        <is>
          <t>% มูลค่า</t>
        </is>
      </c>
      <c r="E5" s="22" t="inlineStr">
        <is>
          <t>% ใบ</t>
        </is>
      </c>
      <c r="F5" s="22" t="inlineStr">
        <is>
          <t>เฉลี่ย/ใบ</t>
        </is>
      </c>
    </row>
    <row r="6" ht="18" customHeight="1">
      <c r="A6" s="56" t="inlineStr">
        <is>
          <t>✅ปิดได้</t>
        </is>
      </c>
      <c r="B6" s="57">
        <f>COUNTIF('📋 CRM Table'!P5:P315,"✅ปิดได้")</f>
        <v/>
      </c>
      <c r="C6" s="58">
        <f>SUMIF('📋 CRM Table'!P5:P315,"✅ปิดได้",'📋 CRM Table'!K5:K315)</f>
        <v/>
      </c>
      <c r="D6" s="59">
        <f>IF(SUM('📋 CRM Table'!K5:K315)=0,0,C6/SUM('📋 CRM Table'!K5:K315))</f>
        <v/>
      </c>
      <c r="E6" s="59">
        <f>IF(COUNTA('📋 CRM Table'!P5:P315)=0,0,B6/COUNTA('📋 CRM Table'!P5:P315))</f>
        <v/>
      </c>
      <c r="F6" s="58">
        <f>IF(B6=0,0,C6/B6)</f>
        <v/>
      </c>
    </row>
    <row r="7" ht="18" customHeight="1">
      <c r="A7" s="60" t="inlineStr">
        <is>
          <t>🔥ร้อน-ปิดเร็ว</t>
        </is>
      </c>
      <c r="B7" s="20">
        <f>COUNTIF('📋 CRM Table'!P5:P315,"🔥ร้อน-ปิดเร็ว")</f>
        <v/>
      </c>
      <c r="C7" s="21">
        <f>SUMIF('📋 CRM Table'!P5:P315,"🔥ร้อน-ปิดเร็ว",'📋 CRM Table'!K5:K315)</f>
        <v/>
      </c>
      <c r="D7" s="61">
        <f>IF(SUM('📋 CRM Table'!K5:K315)=0,0,C7/SUM('📋 CRM Table'!K5:K315))</f>
        <v/>
      </c>
      <c r="E7" s="61">
        <f>IF(COUNTA('📋 CRM Table'!P5:P315)=0,0,B7/COUNTA('📋 CRM Table'!P5:P315))</f>
        <v/>
      </c>
      <c r="F7" s="21">
        <f>IF(B7=0,0,C7/B7)</f>
        <v/>
      </c>
    </row>
    <row r="8" ht="18" customHeight="1">
      <c r="A8" s="62" t="inlineStr">
        <is>
          <t>📞กำลังเจรจา</t>
        </is>
      </c>
      <c r="B8" s="57">
        <f>COUNTIF('📋 CRM Table'!P5:P315,"📞กำลังเจรจา")</f>
        <v/>
      </c>
      <c r="C8" s="58">
        <f>SUMIF('📋 CRM Table'!P5:P315,"📞กำลังเจรจา",'📋 CRM Table'!K5:K315)</f>
        <v/>
      </c>
      <c r="D8" s="59">
        <f>IF(SUM('📋 CRM Table'!K5:K315)=0,0,C8/SUM('📋 CRM Table'!K5:K315))</f>
        <v/>
      </c>
      <c r="E8" s="59">
        <f>IF(COUNTA('📋 CRM Table'!P5:P315)=0,0,B8/COUNTA('📋 CRM Table'!P5:P315))</f>
        <v/>
      </c>
      <c r="F8" s="58">
        <f>IF(B8=0,0,C8/B8)</f>
        <v/>
      </c>
    </row>
    <row r="9" ht="18" customHeight="1">
      <c r="A9" s="63" t="inlineStr">
        <is>
          <t>💼ส่ง Proposal แล้ว</t>
        </is>
      </c>
      <c r="B9" s="20">
        <f>COUNTIF('📋 CRM Table'!P5:P315,"💼ส่ง Proposal แล้ว")</f>
        <v/>
      </c>
      <c r="C9" s="21">
        <f>SUMIF('📋 CRM Table'!P5:P315,"💼ส่ง Proposal แล้ว",'📋 CRM Table'!K5:K315)</f>
        <v/>
      </c>
      <c r="D9" s="61">
        <f>IF(SUM('📋 CRM Table'!K5:K315)=0,0,C9/SUM('📋 CRM Table'!K5:K315))</f>
        <v/>
      </c>
      <c r="E9" s="61">
        <f>IF(COUNTA('📋 CRM Table'!P5:P315)=0,0,B9/COUNTA('📋 CRM Table'!P5:P315))</f>
        <v/>
      </c>
      <c r="F9" s="21">
        <f>IF(B9=0,0,C9/B9)</f>
        <v/>
      </c>
    </row>
    <row r="10" ht="18" customHeight="1">
      <c r="A10" s="64" t="inlineStr">
        <is>
          <t>⏳รอลูกค้าตอบ</t>
        </is>
      </c>
      <c r="B10" s="57">
        <f>COUNTIF('📋 CRM Table'!P5:P315,"⏳รอลูกค้าตอบ")</f>
        <v/>
      </c>
      <c r="C10" s="58">
        <f>SUMIF('📋 CRM Table'!P5:P315,"⏳รอลูกค้าตอบ",'📋 CRM Table'!K5:K315)</f>
        <v/>
      </c>
      <c r="D10" s="59">
        <f>IF(SUM('📋 CRM Table'!K5:K315)=0,0,C10/SUM('📋 CRM Table'!K5:K315))</f>
        <v/>
      </c>
      <c r="E10" s="59">
        <f>IF(COUNTA('📋 CRM Table'!P5:P315)=0,0,B10/COUNTA('📋 CRM Table'!P5:P315))</f>
        <v/>
      </c>
      <c r="F10" s="58">
        <f>IF(B10=0,0,C10/B10)</f>
        <v/>
      </c>
    </row>
    <row r="11" ht="18" customHeight="1">
      <c r="A11" s="65" t="inlineStr">
        <is>
          <t>❌พัก/ไม่ซื้อ</t>
        </is>
      </c>
      <c r="B11" s="20">
        <f>COUNTIF('📋 CRM Table'!P5:P315,"❌พัก/ไม่ซื้อ")</f>
        <v/>
      </c>
      <c r="C11" s="21">
        <f>SUMIF('📋 CRM Table'!P5:P315,"❌พัก/ไม่ซื้อ",'📋 CRM Table'!K5:K315)</f>
        <v/>
      </c>
      <c r="D11" s="61">
        <f>IF(SUM('📋 CRM Table'!K5:K315)=0,0,C11/SUM('📋 CRM Table'!K5:K315))</f>
        <v/>
      </c>
      <c r="E11" s="61">
        <f>IF(COUNTA('📋 CRM Table'!P5:P315)=0,0,B11/COUNTA('📋 CRM Table'!P5:P315))</f>
        <v/>
      </c>
      <c r="F11" s="21">
        <f>IF(B11=0,0,C11/B11)</f>
        <v/>
      </c>
    </row>
    <row r="12" ht="18" customHeight="1">
      <c r="A12" s="66" t="inlineStr">
        <is>
          <t>🔄Revise ราคา</t>
        </is>
      </c>
      <c r="B12" s="57">
        <f>COUNTIF('📋 CRM Table'!P5:P315,"🔄Revise ราคา")</f>
        <v/>
      </c>
      <c r="C12" s="58">
        <f>SUMIF('📋 CRM Table'!P5:P315,"🔄Revise ราคา",'📋 CRM Table'!K5:K315)</f>
        <v/>
      </c>
      <c r="D12" s="59">
        <f>IF(SUM('📋 CRM Table'!K5:K315)=0,0,C12/SUM('📋 CRM Table'!K5:K315))</f>
        <v/>
      </c>
      <c r="E12" s="59">
        <f>IF(COUNTA('📋 CRM Table'!P5:P315)=0,0,B12/COUNTA('📋 CRM Table'!P5:P315))</f>
        <v/>
      </c>
      <c r="F12" s="58">
        <f>IF(B12=0,0,C12/B12)</f>
        <v/>
      </c>
    </row>
    <row r="13" ht="18" customHeight="1">
      <c r="A13" s="67" t="inlineStr">
        <is>
          <t>⚪ยังไม่ติดต่อ</t>
        </is>
      </c>
      <c r="B13" s="20">
        <f>COUNTIF('📋 CRM Table'!P5:P315,"⚪ยังไม่ติดต่อ")</f>
        <v/>
      </c>
      <c r="C13" s="21">
        <f>SUMIF('📋 CRM Table'!P5:P315,"⚪ยังไม่ติดต่อ",'📋 CRM Table'!K5:K315)</f>
        <v/>
      </c>
      <c r="D13" s="61">
        <f>IF(SUM('📋 CRM Table'!K5:K315)=0,0,C13/SUM('📋 CRM Table'!K5:K315))</f>
        <v/>
      </c>
      <c r="E13" s="61">
        <f>IF(COUNTA('📋 CRM Table'!P5:P315)=0,0,B13/COUNTA('📋 CRM Table'!P5:P315))</f>
        <v/>
      </c>
      <c r="F13" s="21">
        <f>IF(B13=0,0,C13/B13)</f>
        <v/>
      </c>
    </row>
    <row r="14">
      <c r="A14" s="68" t="inlineStr">
        <is>
          <t>รวมทั้งหมด (ที่กรอกสถานะ)</t>
        </is>
      </c>
      <c r="B14" s="69">
        <f>COUNTA('📋 CRM Table'!P5:P315)</f>
        <v/>
      </c>
      <c r="C14" s="23">
        <f>SUM('📋 CRM Table'!K5:K315)</f>
        <v/>
      </c>
      <c r="D14" s="22" t="n"/>
      <c r="E14" s="22" t="n"/>
      <c r="F14" s="22" t="n"/>
    </row>
    <row r="16" ht="20" customHeight="1">
      <c r="A16" s="70" t="inlineStr">
        <is>
          <t>📊 สถานะ Auto (จาก Pipeline Value) — ข้อมูลอ้างอิงจาก CRM Table คอลัมน์ L</t>
        </is>
      </c>
    </row>
    <row r="17" ht="16" customHeight="1">
      <c r="A17" s="31" t="inlineStr">
        <is>
          <t>🔥 ร้อน</t>
        </is>
      </c>
      <c r="B17" s="31" t="inlineStr">
        <is>
          <t>≥ 3,000,000 ฿</t>
        </is>
      </c>
      <c r="C17" s="30">
        <f>COUNTIF('📋 CRM Table'!L5:L315,"*🔥*")</f>
        <v/>
      </c>
      <c r="D17" s="32">
        <f>SUMIF('📋 CRM Table'!L5:L315,"*🔥*",'📋 CRM Table'!K5:K315)</f>
        <v/>
      </c>
      <c r="E17" s="30" t="inlineStr"/>
      <c r="F17" s="30" t="inlineStr"/>
    </row>
    <row r="18" ht="16" customHeight="1">
      <c r="A18" s="34" t="inlineStr">
        <is>
          <t>📞 ติดตาม-High</t>
        </is>
      </c>
      <c r="B18" s="34" t="inlineStr">
        <is>
          <t>1,000,000 – 2,999,999 ฿</t>
        </is>
      </c>
      <c r="C18" s="33">
        <f>COUNTIF('📋 CRM Table'!L5:L315,"*📞*")</f>
        <v/>
      </c>
      <c r="D18" s="35">
        <f>SUMIF('📋 CRM Table'!L5:L315,"*📞*",'📋 CRM Table'!K5:K315)</f>
        <v/>
      </c>
      <c r="E18" s="33" t="inlineStr"/>
      <c r="F18" s="33" t="inlineStr"/>
    </row>
    <row r="19" ht="16" customHeight="1">
      <c r="A19" s="71" t="inlineStr">
        <is>
          <t>📋 ติดตาม</t>
        </is>
      </c>
      <c r="B19" s="71" t="inlineStr">
        <is>
          <t>300,000 – 999,999 ฿</t>
        </is>
      </c>
      <c r="C19" s="57">
        <f>COUNTIF('📋 CRM Table'!L5:L315,"*📋*")</f>
        <v/>
      </c>
      <c r="D19" s="58">
        <f>SUMIF('📋 CRM Table'!L5:L315,"*📋*",'📋 CRM Table'!K5:K315)</f>
        <v/>
      </c>
      <c r="E19" s="57" t="inlineStr"/>
      <c r="F19" s="57" t="inlineStr"/>
    </row>
    <row r="20" ht="16" customHeight="1">
      <c r="A20" s="72" t="inlineStr">
        <is>
          <t>⚪ รอผล</t>
        </is>
      </c>
      <c r="B20" s="72" t="inlineStr">
        <is>
          <t>&lt; 300,000 ฿</t>
        </is>
      </c>
      <c r="C20" s="73">
        <f>COUNTIF('📋 CRM Table'!L5:L315,"*⚪*")</f>
        <v/>
      </c>
      <c r="D20" s="74">
        <f>SUMIF('📋 CRM Table'!L5:L315,"*⚪*",'📋 CRM Table'!K5:K315)</f>
        <v/>
      </c>
      <c r="E20" s="73" t="inlineStr"/>
      <c r="F20" s="73" t="inlineStr"/>
    </row>
  </sheetData>
  <mergeCells count="3">
    <mergeCell ref="A16:F16"/>
    <mergeCell ref="A3:N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527A0"/>
    <outlinePr summaryBelow="1" summaryRight="1"/>
    <pageSetUpPr/>
  </sheetPr>
  <dimension ref="A1:L276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8" customWidth="1" min="4" max="4"/>
    <col width="16" customWidth="1" min="5" max="5"/>
    <col width="8" customWidth="1" min="6" max="6"/>
    <col width="22" customWidth="1" min="7" max="7"/>
    <col width="10" customWidth="1" min="8" max="8"/>
    <col width="12" customWidth="1" min="9" max="9"/>
    <col width="14" customWidth="1" min="10" max="10"/>
    <col width="16" customWidth="1" min="11" max="11"/>
    <col width="22" customWidth="1" min="12" max="12"/>
  </cols>
  <sheetData>
    <row r="1" ht="22" customHeight="1">
      <c r="A1" s="1" t="inlineStr">
        <is>
          <t xml:space="preserve">  LeKise  |  Customer CRM 2026  |  273 ลูกค้า  |  16 มิ.ย. 2569</t>
        </is>
      </c>
    </row>
    <row r="2" ht="6" customHeight="1"/>
    <row r="3" ht="28" customHeight="1">
      <c r="A3" s="37" t="inlineStr">
        <is>
          <t>#</t>
        </is>
      </c>
      <c r="B3" s="37" t="inlineStr">
        <is>
          <t>ชื่อลูกค้า</t>
        </is>
      </c>
      <c r="C3" s="37" t="inlineStr">
        <is>
          <t>ประเภท</t>
        </is>
      </c>
      <c r="D3" s="37" t="inlineStr">
        <is>
          <t>Deal</t>
        </is>
      </c>
      <c r="E3" s="37" t="inlineStr">
        <is>
          <t>มูลค่า (฿)</t>
        </is>
      </c>
      <c r="F3" s="37" t="inlineStr">
        <is>
          <t>%</t>
        </is>
      </c>
      <c r="G3" s="37" t="inlineStr">
        <is>
          <t>กลุ่มสินค้า</t>
        </is>
      </c>
      <c r="H3" s="37" t="inlineStr">
        <is>
          <t>เดือน</t>
        </is>
      </c>
      <c r="I3" s="37" t="inlineStr">
        <is>
          <t>PL</t>
        </is>
      </c>
      <c r="J3" s="37" t="inlineStr">
        <is>
          <t>ระดับ CRM</t>
        </is>
      </c>
      <c r="K3" s="37" t="inlineStr">
        <is>
          <t>กลุ่มงาน</t>
        </is>
      </c>
      <c r="L3" s="37" t="inlineStr">
        <is>
          <t>Action</t>
        </is>
      </c>
    </row>
    <row r="4" ht="14" customHeight="1">
      <c r="A4" s="50" t="n">
        <v>1</v>
      </c>
      <c r="B4" s="51" t="inlineStr">
        <is>
          <t>กรรณเลิศ เทรดดิ้ง</t>
        </is>
      </c>
      <c r="C4" s="50" t="inlineStr">
        <is>
          <t>B2B อื่นๆ</t>
        </is>
      </c>
      <c r="D4" s="50" t="n">
        <v>3</v>
      </c>
      <c r="E4" s="75" t="n">
        <v>9826598.33</v>
      </c>
      <c r="F4" s="50" t="inlineStr">
        <is>
          <t>5.3%</t>
        </is>
      </c>
      <c r="G4" s="51" t="inlineStr">
        <is>
          <t>High Mast/เสาไฟถนน</t>
        </is>
      </c>
      <c r="H4" s="50" t="inlineStr">
        <is>
          <t>2026-01, 2026-02</t>
        </is>
      </c>
      <c r="I4" s="50" t="inlineStr">
        <is>
          <t>PL682</t>
        </is>
      </c>
      <c r="J4" s="50" t="inlineStr">
        <is>
          <t>A - VIP</t>
        </is>
      </c>
      <c r="K4" s="50" t="inlineStr">
        <is>
          <t>—</t>
        </is>
      </c>
      <c r="L4" s="51" t="inlineStr">
        <is>
          <t>📞 ติดตามด่วน</t>
        </is>
      </c>
    </row>
    <row r="5" ht="14" customHeight="1">
      <c r="A5" s="50" t="n">
        <v>2</v>
      </c>
      <c r="B5" s="51" t="inlineStr">
        <is>
          <t>ภิรมย์ กรุ๊ป</t>
        </is>
      </c>
      <c r="C5" s="50" t="inlineStr">
        <is>
          <t>B2B อื่นๆ</t>
        </is>
      </c>
      <c r="D5" s="50" t="n">
        <v>1</v>
      </c>
      <c r="E5" s="75" t="n">
        <v>9536178.119999999</v>
      </c>
      <c r="F5" s="50" t="inlineStr">
        <is>
          <t>5.2%</t>
        </is>
      </c>
      <c r="G5" s="51" t="inlineStr">
        <is>
          <t>High Mast</t>
        </is>
      </c>
      <c r="H5" s="50" t="inlineStr">
        <is>
          <t>2026-06</t>
        </is>
      </c>
      <c r="I5" s="50" t="inlineStr">
        <is>
          <t>PL915</t>
        </is>
      </c>
      <c r="J5" s="50" t="inlineStr">
        <is>
          <t>A - VIP</t>
        </is>
      </c>
      <c r="K5" s="50" t="inlineStr">
        <is>
          <t>—</t>
        </is>
      </c>
      <c r="L5" s="51" t="inlineStr">
        <is>
          <t>📞 ติดตามด่วน</t>
        </is>
      </c>
    </row>
    <row r="6" ht="14" customHeight="1">
      <c r="A6" s="50" t="n">
        <v>3</v>
      </c>
      <c r="B6" s="51" t="inlineStr">
        <is>
          <t>สุรัตน์</t>
        </is>
      </c>
      <c r="C6" s="50" t="inlineStr">
        <is>
          <t>B2B อื่นๆ</t>
        </is>
      </c>
      <c r="D6" s="50" t="n">
        <v>1</v>
      </c>
      <c r="E6" s="75" t="n">
        <v>7387488.65</v>
      </c>
      <c r="F6" s="50" t="inlineStr">
        <is>
          <t>4.0%</t>
        </is>
      </c>
      <c r="G6" s="51" t="inlineStr">
        <is>
          <t>High Mast</t>
        </is>
      </c>
      <c r="H6" s="50" t="inlineStr">
        <is>
          <t>2026-01</t>
        </is>
      </c>
      <c r="I6" s="50" t="inlineStr">
        <is>
          <t>PL625</t>
        </is>
      </c>
      <c r="J6" s="50" t="inlineStr">
        <is>
          <t>A - VIP</t>
        </is>
      </c>
      <c r="K6" s="50" t="inlineStr">
        <is>
          <t>—</t>
        </is>
      </c>
      <c r="L6" s="51" t="inlineStr">
        <is>
          <t>📞 ติดตามด่วน</t>
        </is>
      </c>
    </row>
    <row r="7" ht="14" customHeight="1">
      <c r="A7" s="50" t="n">
        <v>4</v>
      </c>
      <c r="B7" s="51" t="inlineStr">
        <is>
          <t>ห้างหุ้นส่วนจำกัด สมบูรณ์อิเล็กทริค หนองบัวลำภู</t>
        </is>
      </c>
      <c r="C7" s="50" t="inlineStr">
        <is>
          <t>B2B หจก.</t>
        </is>
      </c>
      <c r="D7" s="50" t="n">
        <v>1</v>
      </c>
      <c r="E7" s="75" t="n">
        <v>6855170.07</v>
      </c>
      <c r="F7" s="50" t="inlineStr">
        <is>
          <t>3.7%</t>
        </is>
      </c>
      <c r="G7" s="51" t="inlineStr">
        <is>
          <t>Guard Rail / การ์ดเรล</t>
        </is>
      </c>
      <c r="H7" s="50" t="inlineStr">
        <is>
          <t>2026-05</t>
        </is>
      </c>
      <c r="I7" s="50" t="inlineStr">
        <is>
          <t>PL874</t>
        </is>
      </c>
      <c r="J7" s="50" t="inlineStr">
        <is>
          <t>A - VIP</t>
        </is>
      </c>
      <c r="K7" s="50" t="inlineStr">
        <is>
          <t>—</t>
        </is>
      </c>
      <c r="L7" s="51" t="inlineStr">
        <is>
          <t>📞 ติดตามด่วน</t>
        </is>
      </c>
    </row>
    <row r="8" ht="14" customHeight="1">
      <c r="A8" s="50" t="n">
        <v>5</v>
      </c>
      <c r="B8" s="51" t="inlineStr">
        <is>
          <t>ต้นตะวัน</t>
        </is>
      </c>
      <c r="C8" s="50" t="inlineStr">
        <is>
          <t>B2B อื่นๆ</t>
        </is>
      </c>
      <c r="D8" s="50" t="n">
        <v>1</v>
      </c>
      <c r="E8" s="75" t="n">
        <v>5807540.03</v>
      </c>
      <c r="F8" s="50" t="inlineStr">
        <is>
          <t>3.2%</t>
        </is>
      </c>
      <c r="G8" s="51" t="inlineStr">
        <is>
          <t>เสาไฟถนน</t>
        </is>
      </c>
      <c r="H8" s="50" t="inlineStr">
        <is>
          <t>2026-06</t>
        </is>
      </c>
      <c r="I8" s="50" t="inlineStr">
        <is>
          <t>PL932</t>
        </is>
      </c>
      <c r="J8" s="50" t="inlineStr">
        <is>
          <t>A - VIP</t>
        </is>
      </c>
      <c r="K8" s="50" t="inlineStr">
        <is>
          <t>—</t>
        </is>
      </c>
      <c r="L8" s="51" t="inlineStr">
        <is>
          <t>📞 ติดตามด่วน</t>
        </is>
      </c>
    </row>
    <row r="9" ht="14" customHeight="1">
      <c r="A9" s="50" t="n">
        <v>6</v>
      </c>
      <c r="B9" s="51" t="inlineStr">
        <is>
          <t>วันชัยการไฟฟ้า HM20_8</t>
        </is>
      </c>
      <c r="C9" s="50" t="inlineStr">
        <is>
          <t>B2B อื่นๆ</t>
        </is>
      </c>
      <c r="D9" s="50" t="n">
        <v>1</v>
      </c>
      <c r="E9" s="75" t="n">
        <v>4709493.29</v>
      </c>
      <c r="F9" s="50" t="inlineStr">
        <is>
          <t>2.6%</t>
        </is>
      </c>
      <c r="G9" s="51" t="inlineStr">
        <is>
          <t>High Mast</t>
        </is>
      </c>
      <c r="H9" s="50" t="inlineStr">
        <is>
          <t>2026-05</t>
        </is>
      </c>
      <c r="I9" s="50" t="inlineStr">
        <is>
          <t>PL861</t>
        </is>
      </c>
      <c r="J9" s="50" t="inlineStr">
        <is>
          <t>A - VIP</t>
        </is>
      </c>
      <c r="K9" s="50" t="inlineStr">
        <is>
          <t>—</t>
        </is>
      </c>
      <c r="L9" s="51" t="inlineStr">
        <is>
          <t>📞 ติดตามด่วน</t>
        </is>
      </c>
    </row>
    <row r="10" ht="14" customHeight="1">
      <c r="A10" s="50" t="n">
        <v>7</v>
      </c>
      <c r="B10" s="51" t="inlineStr">
        <is>
          <t>วันชัยการไฟฟ้า</t>
        </is>
      </c>
      <c r="C10" s="50" t="inlineStr">
        <is>
          <t>B2B อื่นๆ</t>
        </is>
      </c>
      <c r="D10" s="50" t="n">
        <v>1</v>
      </c>
      <c r="E10" s="75" t="n">
        <v>4425301.72</v>
      </c>
      <c r="F10" s="50" t="inlineStr">
        <is>
          <t>2.4%</t>
        </is>
      </c>
      <c r="G10" s="51" t="inlineStr">
        <is>
          <t>High Mast</t>
        </is>
      </c>
      <c r="H10" s="50" t="inlineStr">
        <is>
          <t>2026-01</t>
        </is>
      </c>
      <c r="I10" s="50" t="inlineStr">
        <is>
          <t>PL658</t>
        </is>
      </c>
      <c r="J10" s="50" t="inlineStr">
        <is>
          <t>A - VIP</t>
        </is>
      </c>
      <c r="K10" s="50" t="inlineStr">
        <is>
          <t>—</t>
        </is>
      </c>
      <c r="L10" s="51" t="inlineStr">
        <is>
          <t>📞 ติดตามด่วน</t>
        </is>
      </c>
    </row>
    <row r="11" ht="14" customHeight="1">
      <c r="A11" s="50" t="n">
        <v>8</v>
      </c>
      <c r="B11" s="51" t="inlineStr">
        <is>
          <t>เบตเตอร์ เวิร์ลด</t>
        </is>
      </c>
      <c r="C11" s="50" t="inlineStr">
        <is>
          <t>B2B อื่นๆ</t>
        </is>
      </c>
      <c r="D11" s="50" t="n">
        <v>1</v>
      </c>
      <c r="E11" s="75" t="n">
        <v>3838838.61</v>
      </c>
      <c r="F11" s="50" t="inlineStr">
        <is>
          <t>2.1%</t>
        </is>
      </c>
      <c r="G11" s="51" t="inlineStr">
        <is>
          <t>Guard Rail / การ์ดเรล</t>
        </is>
      </c>
      <c r="H11" s="50" t="inlineStr">
        <is>
          <t>2026-05</t>
        </is>
      </c>
      <c r="I11" s="50" t="inlineStr">
        <is>
          <t>PL850</t>
        </is>
      </c>
      <c r="J11" s="50" t="inlineStr">
        <is>
          <t>A - VIP</t>
        </is>
      </c>
      <c r="K11" s="50" t="inlineStr">
        <is>
          <t>—</t>
        </is>
      </c>
      <c r="L11" s="51" t="inlineStr">
        <is>
          <t>📞 ติดตามด่วน</t>
        </is>
      </c>
    </row>
    <row r="12" ht="14" customHeight="1">
      <c r="A12" s="50" t="n">
        <v>9</v>
      </c>
      <c r="B12" s="51" t="inlineStr">
        <is>
          <t>เทศบาลนครเชียงใหม่</t>
        </is>
      </c>
      <c r="C12" s="50" t="inlineStr">
        <is>
          <t>B2G อปท.</t>
        </is>
      </c>
      <c r="D12" s="50" t="n">
        <v>1</v>
      </c>
      <c r="E12" s="75" t="n">
        <v>3805428.25</v>
      </c>
      <c r="F12" s="50" t="inlineStr">
        <is>
          <t>2.1%</t>
        </is>
      </c>
      <c r="G12" s="51" t="inlineStr">
        <is>
          <t>เสาไฟถนน</t>
        </is>
      </c>
      <c r="H12" s="50" t="inlineStr">
        <is>
          <t>2026-04</t>
        </is>
      </c>
      <c r="I12" s="50" t="inlineStr">
        <is>
          <t>PL828</t>
        </is>
      </c>
      <c r="J12" s="50" t="inlineStr">
        <is>
          <t>A - VIP</t>
        </is>
      </c>
      <c r="K12" s="50" t="inlineStr">
        <is>
          <t>—</t>
        </is>
      </c>
      <c r="L12" s="51" t="inlineStr">
        <is>
          <t>📞 ติดตามด่วน</t>
        </is>
      </c>
    </row>
    <row r="13" ht="14" customHeight="1">
      <c r="A13" s="50" t="n">
        <v>10</v>
      </c>
      <c r="B13" s="51" t="inlineStr">
        <is>
          <t>วันชัยการไฟฟ้า 2019</t>
        </is>
      </c>
      <c r="C13" s="50" t="inlineStr">
        <is>
          <t>B2B อื่นๆ</t>
        </is>
      </c>
      <c r="D13" s="50" t="n">
        <v>1</v>
      </c>
      <c r="E13" s="75" t="n">
        <v>3578683.05</v>
      </c>
      <c r="F13" s="50" t="inlineStr">
        <is>
          <t>1.9%</t>
        </is>
      </c>
      <c r="G13" s="51" t="inlineStr">
        <is>
          <t>High Mast</t>
        </is>
      </c>
      <c r="H13" s="50" t="inlineStr">
        <is>
          <t>2026-06</t>
        </is>
      </c>
      <c r="I13" s="50" t="inlineStr">
        <is>
          <t>PL919</t>
        </is>
      </c>
      <c r="J13" s="50" t="inlineStr">
        <is>
          <t>A - VIP</t>
        </is>
      </c>
      <c r="K13" s="50" t="inlineStr">
        <is>
          <t>—</t>
        </is>
      </c>
      <c r="L13" s="51" t="inlineStr">
        <is>
          <t>📞 ติดตามด่วน</t>
        </is>
      </c>
    </row>
    <row r="14" ht="14" customHeight="1">
      <c r="A14" s="50" t="n">
        <v>11</v>
      </c>
      <c r="B14" s="51" t="inlineStr">
        <is>
          <t>บริษัท เดอะวิน เทเลคอม จำกัด</t>
        </is>
      </c>
      <c r="C14" s="50" t="inlineStr">
        <is>
          <t>B2B บริษัท</t>
        </is>
      </c>
      <c r="D14" s="50" t="n">
        <v>1</v>
      </c>
      <c r="E14" s="75" t="n">
        <v>3257133.5</v>
      </c>
      <c r="F14" s="50" t="inlineStr">
        <is>
          <t>1.8%</t>
        </is>
      </c>
      <c r="G14" s="51" t="inlineStr">
        <is>
          <t>เสาไฟถนน</t>
        </is>
      </c>
      <c r="H14" s="50" t="inlineStr">
        <is>
          <t>2026-01</t>
        </is>
      </c>
      <c r="I14" s="50" t="inlineStr">
        <is>
          <t>PL637</t>
        </is>
      </c>
      <c r="J14" s="50" t="inlineStr">
        <is>
          <t>A - VIP</t>
        </is>
      </c>
      <c r="K14" s="50" t="inlineStr">
        <is>
          <t>—</t>
        </is>
      </c>
      <c r="L14" s="51" t="inlineStr">
        <is>
          <t>📞 ติดตามด่วน</t>
        </is>
      </c>
    </row>
    <row r="15" ht="14" customHeight="1">
      <c r="A15" s="42" t="n">
        <v>12</v>
      </c>
      <c r="B15" s="43" t="inlineStr">
        <is>
          <t>เค บี เอ็ม _25ม. 15</t>
        </is>
      </c>
      <c r="C15" s="42" t="inlineStr">
        <is>
          <t>B2B อื่นๆ</t>
        </is>
      </c>
      <c r="D15" s="42" t="n">
        <v>1</v>
      </c>
      <c r="E15" s="76" t="n">
        <v>2747332</v>
      </c>
      <c r="F15" s="42" t="inlineStr">
        <is>
          <t>1.5%</t>
        </is>
      </c>
      <c r="G15" s="43" t="inlineStr">
        <is>
          <t>High Mast</t>
        </is>
      </c>
      <c r="H15" s="42" t="inlineStr">
        <is>
          <t>2026-05</t>
        </is>
      </c>
      <c r="I15" s="42" t="inlineStr">
        <is>
          <t>PL908</t>
        </is>
      </c>
      <c r="J15" s="42" t="inlineStr">
        <is>
          <t>B - สำคัญ</t>
        </is>
      </c>
      <c r="K15" s="42" t="inlineStr">
        <is>
          <t>อปท. Supply</t>
        </is>
      </c>
      <c r="L15" s="43" t="inlineStr">
        <is>
          <t>📋 นัดหมาย</t>
        </is>
      </c>
    </row>
    <row r="16" ht="14" customHeight="1">
      <c r="A16" s="42" t="n">
        <v>13</v>
      </c>
      <c r="B16" s="43" t="inlineStr">
        <is>
          <t>ทองมาคอนแทรคเตอร์</t>
        </is>
      </c>
      <c r="C16" s="42" t="inlineStr">
        <is>
          <t>B2B อื่นๆ</t>
        </is>
      </c>
      <c r="D16" s="42" t="n">
        <v>1</v>
      </c>
      <c r="E16" s="76" t="n">
        <v>2645229.82</v>
      </c>
      <c r="F16" s="42" t="inlineStr">
        <is>
          <t>1.4%</t>
        </is>
      </c>
      <c r="G16" s="43" t="inlineStr">
        <is>
          <t>เสาไฟถนน</t>
        </is>
      </c>
      <c r="H16" s="42" t="inlineStr">
        <is>
          <t>2026-01</t>
        </is>
      </c>
      <c r="I16" s="42" t="inlineStr">
        <is>
          <t>PL647</t>
        </is>
      </c>
      <c r="J16" s="42" t="inlineStr">
        <is>
          <t>B - สำคัญ</t>
        </is>
      </c>
      <c r="K16" s="42" t="inlineStr">
        <is>
          <t>—</t>
        </is>
      </c>
      <c r="L16" s="43" t="inlineStr">
        <is>
          <t>📋 นัดหมาย</t>
        </is>
      </c>
    </row>
    <row r="17" ht="14" customHeight="1">
      <c r="A17" s="42" t="n">
        <v>14</v>
      </c>
      <c r="B17" s="43" t="inlineStr">
        <is>
          <t>ทูพีเอส</t>
        </is>
      </c>
      <c r="C17" s="42" t="inlineStr">
        <is>
          <t>B2B อื่นๆ</t>
        </is>
      </c>
      <c r="D17" s="42" t="n">
        <v>1</v>
      </c>
      <c r="E17" s="76" t="n">
        <v>2615208.4</v>
      </c>
      <c r="F17" s="42" t="inlineStr">
        <is>
          <t>1.4%</t>
        </is>
      </c>
      <c r="G17" s="43" t="inlineStr">
        <is>
          <t>สายส่งไฟฟ้า</t>
        </is>
      </c>
      <c r="H17" s="42" t="inlineStr">
        <is>
          <t>2026-01</t>
        </is>
      </c>
      <c r="I17" s="42" t="inlineStr">
        <is>
          <t>PL619</t>
        </is>
      </c>
      <c r="J17" s="42" t="inlineStr">
        <is>
          <t>B - สำคัญ</t>
        </is>
      </c>
      <c r="K17" s="42" t="inlineStr">
        <is>
          <t>—</t>
        </is>
      </c>
      <c r="L17" s="43" t="inlineStr">
        <is>
          <t>📋 นัดหมาย</t>
        </is>
      </c>
    </row>
    <row r="18" ht="14" customHeight="1">
      <c r="A18" s="42" t="n">
        <v>15</v>
      </c>
      <c r="B18" s="43" t="inlineStr">
        <is>
          <t>วุทธิวงษ์ เทรดดิ้ง -Solar Split Type</t>
        </is>
      </c>
      <c r="C18" s="42" t="inlineStr">
        <is>
          <t>B2B อื่นๆ</t>
        </is>
      </c>
      <c r="D18" s="42" t="n">
        <v>1</v>
      </c>
      <c r="E18" s="76" t="n">
        <v>2257700</v>
      </c>
      <c r="F18" s="42" t="inlineStr">
        <is>
          <t>1.2%</t>
        </is>
      </c>
      <c r="G18" s="43" t="inlineStr">
        <is>
          <t>อื่นๆ</t>
        </is>
      </c>
      <c r="H18" s="42" t="inlineStr">
        <is>
          <t>2026-05</t>
        </is>
      </c>
      <c r="I18" s="42" t="inlineStr">
        <is>
          <t>PL910</t>
        </is>
      </c>
      <c r="J18" s="42" t="inlineStr">
        <is>
          <t>B - สำคัญ</t>
        </is>
      </c>
      <c r="K18" s="42" t="inlineStr">
        <is>
          <t>—</t>
        </is>
      </c>
      <c r="L18" s="43" t="inlineStr">
        <is>
          <t>📋 นัดหมาย</t>
        </is>
      </c>
    </row>
    <row r="19" ht="14" customHeight="1">
      <c r="A19" s="42" t="n">
        <v>16</v>
      </c>
      <c r="B19" s="43" t="inlineStr">
        <is>
          <t>บางน้อย</t>
        </is>
      </c>
      <c r="C19" s="42" t="inlineStr">
        <is>
          <t>B2B อื่นๆ</t>
        </is>
      </c>
      <c r="D19" s="42" t="n">
        <v>4</v>
      </c>
      <c r="E19" s="76" t="n">
        <v>2242703.73</v>
      </c>
      <c r="F19" s="42" t="inlineStr">
        <is>
          <t>1.2%</t>
        </is>
      </c>
      <c r="G19" s="43" t="inlineStr">
        <is>
          <t>เสาไฟถนน/Hardware / Accessories</t>
        </is>
      </c>
      <c r="H19" s="42" t="inlineStr">
        <is>
          <t>2026-02, 2026-04</t>
        </is>
      </c>
      <c r="I19" s="42" t="inlineStr">
        <is>
          <t>PL814</t>
        </is>
      </c>
      <c r="J19" s="42" t="inlineStr">
        <is>
          <t>B - สำคัญ</t>
        </is>
      </c>
      <c r="K19" s="42" t="inlineStr">
        <is>
          <t>—</t>
        </is>
      </c>
      <c r="L19" s="43" t="inlineStr">
        <is>
          <t>📋 นัดหมาย</t>
        </is>
      </c>
    </row>
    <row r="20" ht="14" customHeight="1">
      <c r="A20" s="42" t="n">
        <v>17</v>
      </c>
      <c r="B20" s="43" t="inlineStr">
        <is>
          <t>บริษัท มอส เอ็นเนอร์ยี่ จำกัด</t>
        </is>
      </c>
      <c r="C20" s="42" t="inlineStr">
        <is>
          <t>B2B บริษัท</t>
        </is>
      </c>
      <c r="D20" s="42" t="n">
        <v>1</v>
      </c>
      <c r="E20" s="76" t="n">
        <v>2235405.48</v>
      </c>
      <c r="F20" s="42" t="inlineStr">
        <is>
          <t>1.2%</t>
        </is>
      </c>
      <c r="G20" s="43" t="inlineStr">
        <is>
          <t>เสาไฟถนน</t>
        </is>
      </c>
      <c r="H20" s="42" t="inlineStr">
        <is>
          <t>2026-01</t>
        </is>
      </c>
      <c r="I20" s="42" t="inlineStr">
        <is>
          <t>PL674</t>
        </is>
      </c>
      <c r="J20" s="42" t="inlineStr">
        <is>
          <t>B - สำคัญ</t>
        </is>
      </c>
      <c r="K20" s="42" t="inlineStr">
        <is>
          <t>—</t>
        </is>
      </c>
      <c r="L20" s="43" t="inlineStr">
        <is>
          <t>📋 นัดหมาย</t>
        </is>
      </c>
    </row>
    <row r="21" ht="14" customHeight="1">
      <c r="A21" s="42" t="n">
        <v>18</v>
      </c>
      <c r="B21" s="43" t="inlineStr">
        <is>
          <t>ชาคริส</t>
        </is>
      </c>
      <c r="C21" s="42" t="inlineStr">
        <is>
          <t>B2B อื่นๆ</t>
        </is>
      </c>
      <c r="D21" s="42" t="n">
        <v>1</v>
      </c>
      <c r="E21" s="76" t="n">
        <v>2202175.35</v>
      </c>
      <c r="F21" s="42" t="inlineStr">
        <is>
          <t>1.2%</t>
        </is>
      </c>
      <c r="G21" s="43" t="inlineStr">
        <is>
          <t>เสาไฟถนน</t>
        </is>
      </c>
      <c r="H21" s="42" t="inlineStr">
        <is>
          <t>2026-03</t>
        </is>
      </c>
      <c r="I21" s="42" t="inlineStr">
        <is>
          <t>PL760</t>
        </is>
      </c>
      <c r="J21" s="42" t="inlineStr">
        <is>
          <t>B - สำคัญ</t>
        </is>
      </c>
      <c r="K21" s="42" t="inlineStr">
        <is>
          <t>—</t>
        </is>
      </c>
      <c r="L21" s="43" t="inlineStr">
        <is>
          <t>📋 นัดหมาย</t>
        </is>
      </c>
    </row>
    <row r="22" ht="14" customHeight="1">
      <c r="A22" s="42" t="n">
        <v>19</v>
      </c>
      <c r="B22" s="43" t="inlineStr">
        <is>
          <t>อุดมไลท์ติ้ง</t>
        </is>
      </c>
      <c r="C22" s="42" t="inlineStr">
        <is>
          <t>B2B อื่นๆ</t>
        </is>
      </c>
      <c r="D22" s="42" t="n">
        <v>1</v>
      </c>
      <c r="E22" s="76" t="n">
        <v>2197341.3</v>
      </c>
      <c r="F22" s="42" t="inlineStr">
        <is>
          <t>1.2%</t>
        </is>
      </c>
      <c r="G22" s="43" t="inlineStr">
        <is>
          <t>เสาไฟถนน</t>
        </is>
      </c>
      <c r="H22" s="42" t="inlineStr">
        <is>
          <t>2026-03</t>
        </is>
      </c>
      <c r="I22" s="42" t="inlineStr">
        <is>
          <t>PL781</t>
        </is>
      </c>
      <c r="J22" s="42" t="inlineStr">
        <is>
          <t>B - สำคัญ</t>
        </is>
      </c>
      <c r="K22" s="42" t="inlineStr">
        <is>
          <t>—</t>
        </is>
      </c>
      <c r="L22" s="43" t="inlineStr">
        <is>
          <t>📋 นัดหมาย</t>
        </is>
      </c>
    </row>
    <row r="23" ht="14" customHeight="1">
      <c r="A23" s="42" t="n">
        <v>20</v>
      </c>
      <c r="B23" s="43" t="inlineStr">
        <is>
          <t>หจก.ชนก อิเล็คทริค</t>
        </is>
      </c>
      <c r="C23" s="42" t="inlineStr">
        <is>
          <t>B2B หจก.</t>
        </is>
      </c>
      <c r="D23" s="42" t="n">
        <v>1</v>
      </c>
      <c r="E23" s="76" t="n">
        <v>2110831.8</v>
      </c>
      <c r="F23" s="42" t="inlineStr">
        <is>
          <t>1.1%</t>
        </is>
      </c>
      <c r="G23" s="43" t="inlineStr">
        <is>
          <t>LED Floodlight</t>
        </is>
      </c>
      <c r="H23" s="42" t="inlineStr">
        <is>
          <t>2026-02</t>
        </is>
      </c>
      <c r="I23" s="42" t="inlineStr">
        <is>
          <t>PL689</t>
        </is>
      </c>
      <c r="J23" s="42" t="inlineStr">
        <is>
          <t>B - สำคัญ</t>
        </is>
      </c>
      <c r="K23" s="42" t="inlineStr">
        <is>
          <t>—</t>
        </is>
      </c>
      <c r="L23" s="43" t="inlineStr">
        <is>
          <t>📋 นัดหมาย</t>
        </is>
      </c>
    </row>
    <row r="24" ht="14" customHeight="1">
      <c r="A24" s="42" t="n">
        <v>21</v>
      </c>
      <c r="B24" s="43" t="inlineStr">
        <is>
          <t>บ.ยูเนียน ทราฟฟิค</t>
        </is>
      </c>
      <c r="C24" s="42" t="inlineStr">
        <is>
          <t>B2B อื่นๆ</t>
        </is>
      </c>
      <c r="D24" s="42" t="n">
        <v>1</v>
      </c>
      <c r="E24" s="76" t="n">
        <v>2104569.56</v>
      </c>
      <c r="F24" s="42" t="inlineStr">
        <is>
          <t>1.1%</t>
        </is>
      </c>
      <c r="G24" s="43" t="inlineStr">
        <is>
          <t>Guard Rail / การ์ดเรล</t>
        </is>
      </c>
      <c r="H24" s="42" t="inlineStr">
        <is>
          <t>2026-04</t>
        </is>
      </c>
      <c r="I24" s="42" t="inlineStr">
        <is>
          <t>PL837</t>
        </is>
      </c>
      <c r="J24" s="42" t="inlineStr">
        <is>
          <t>B - สำคัญ</t>
        </is>
      </c>
      <c r="K24" s="42" t="inlineStr">
        <is>
          <t>—</t>
        </is>
      </c>
      <c r="L24" s="43" t="inlineStr">
        <is>
          <t>📋 นัดหมาย</t>
        </is>
      </c>
    </row>
    <row r="25" ht="14" customHeight="1">
      <c r="A25" s="42" t="n">
        <v>22</v>
      </c>
      <c r="B25" s="43" t="n"/>
      <c r="C25" s="42" t="inlineStr">
        <is>
          <t>B2B อื่นๆ</t>
        </is>
      </c>
      <c r="D25" s="42" t="n">
        <v>3</v>
      </c>
      <c r="E25" s="76" t="n">
        <v>2035615.72</v>
      </c>
      <c r="F25" s="42" t="inlineStr">
        <is>
          <t>1.1%</t>
        </is>
      </c>
      <c r="G25" s="43" t="inlineStr">
        <is>
          <t>LED Streetlight/เสาไฟถนน</t>
        </is>
      </c>
      <c r="H25" s="42" t="inlineStr">
        <is>
          <t>2026-04, 2026-05</t>
        </is>
      </c>
      <c r="I25" s="42" t="inlineStr">
        <is>
          <t>PL869</t>
        </is>
      </c>
      <c r="J25" s="42" t="inlineStr">
        <is>
          <t>B - สำคัญ</t>
        </is>
      </c>
      <c r="K25" s="42" t="inlineStr">
        <is>
          <t>—</t>
        </is>
      </c>
      <c r="L25" s="43" t="inlineStr">
        <is>
          <t>📋 นัดหมาย</t>
        </is>
      </c>
    </row>
    <row r="26" ht="14" customHeight="1">
      <c r="A26" s="42" t="n">
        <v>23</v>
      </c>
      <c r="B26" s="43" t="inlineStr">
        <is>
          <t>เอสไลน์พาวเวอร์ [Dealer ใต้]</t>
        </is>
      </c>
      <c r="C26" s="42" t="inlineStr">
        <is>
          <t>B2B อื่นๆ</t>
        </is>
      </c>
      <c r="D26" s="42" t="n">
        <v>1</v>
      </c>
      <c r="E26" s="76" t="n">
        <v>2029250.72</v>
      </c>
      <c r="F26" s="42" t="inlineStr">
        <is>
          <t>1.1%</t>
        </is>
      </c>
      <c r="G26" s="43" t="inlineStr">
        <is>
          <t>เสาไฟถนน</t>
        </is>
      </c>
      <c r="H26" s="42" t="inlineStr">
        <is>
          <t>2026-05</t>
        </is>
      </c>
      <c r="I26" s="42" t="inlineStr">
        <is>
          <t>PL853</t>
        </is>
      </c>
      <c r="J26" s="42" t="inlineStr">
        <is>
          <t>B - สำคัญ</t>
        </is>
      </c>
      <c r="K26" s="42" t="inlineStr">
        <is>
          <t>—</t>
        </is>
      </c>
      <c r="L26" s="43" t="inlineStr">
        <is>
          <t>📋 นัดหมาย</t>
        </is>
      </c>
    </row>
    <row r="27" ht="14" customHeight="1">
      <c r="A27" s="42" t="n">
        <v>24</v>
      </c>
      <c r="B27" s="43" t="inlineStr">
        <is>
          <t>สมบูรณ์อิเล็คทริค</t>
        </is>
      </c>
      <c r="C27" s="42" t="inlineStr">
        <is>
          <t>B2B อื่นๆ</t>
        </is>
      </c>
      <c r="D27" s="42" t="n">
        <v>3</v>
      </c>
      <c r="E27" s="76" t="n">
        <v>2013359.11</v>
      </c>
      <c r="F27" s="42" t="inlineStr">
        <is>
          <t>1.1%</t>
        </is>
      </c>
      <c r="G27" s="43" t="inlineStr">
        <is>
          <t>High Mast/LED Streetlight</t>
        </is>
      </c>
      <c r="H27" s="42" t="inlineStr">
        <is>
          <t>2026-01, 2026-03</t>
        </is>
      </c>
      <c r="I27" s="42" t="inlineStr">
        <is>
          <t>PL765</t>
        </is>
      </c>
      <c r="J27" s="42" t="inlineStr">
        <is>
          <t>B - สำคัญ</t>
        </is>
      </c>
      <c r="K27" s="42" t="inlineStr">
        <is>
          <t>—</t>
        </is>
      </c>
      <c r="L27" s="43" t="inlineStr">
        <is>
          <t>📋 นัดหมาย</t>
        </is>
      </c>
    </row>
    <row r="28" ht="14" customHeight="1">
      <c r="A28" s="42" t="n">
        <v>25</v>
      </c>
      <c r="B28" s="43" t="inlineStr">
        <is>
          <t>ที เค</t>
        </is>
      </c>
      <c r="C28" s="42" t="inlineStr">
        <is>
          <t>B2B อื่นๆ</t>
        </is>
      </c>
      <c r="D28" s="42" t="n">
        <v>1</v>
      </c>
      <c r="E28" s="76" t="n">
        <v>2012682.84</v>
      </c>
      <c r="F28" s="42" t="inlineStr">
        <is>
          <t>1.1%</t>
        </is>
      </c>
      <c r="G28" s="43" t="inlineStr">
        <is>
          <t>เสาไฟถนน</t>
        </is>
      </c>
      <c r="H28" s="42" t="inlineStr">
        <is>
          <t>2026-01</t>
        </is>
      </c>
      <c r="I28" s="42" t="inlineStr">
        <is>
          <t>PL610</t>
        </is>
      </c>
      <c r="J28" s="42" t="inlineStr">
        <is>
          <t>B - สำคัญ</t>
        </is>
      </c>
      <c r="K28" s="42" t="inlineStr">
        <is>
          <t>—</t>
        </is>
      </c>
      <c r="L28" s="43" t="inlineStr">
        <is>
          <t>📋 นัดหมาย</t>
        </is>
      </c>
    </row>
    <row r="29" ht="14" customHeight="1">
      <c r="A29" s="42" t="n">
        <v>26</v>
      </c>
      <c r="B29" s="43" t="inlineStr">
        <is>
          <t>ธนาภา เทคโนโลยี่</t>
        </is>
      </c>
      <c r="C29" s="42" t="inlineStr">
        <is>
          <t>B2B อื่นๆ</t>
        </is>
      </c>
      <c r="D29" s="42" t="n">
        <v>1</v>
      </c>
      <c r="E29" s="76" t="n">
        <v>1991056</v>
      </c>
      <c r="F29" s="42" t="inlineStr">
        <is>
          <t>1.1%</t>
        </is>
      </c>
      <c r="G29" s="43" t="inlineStr">
        <is>
          <t>อื่นๆ</t>
        </is>
      </c>
      <c r="H29" s="42" t="inlineStr">
        <is>
          <t>2026-01</t>
        </is>
      </c>
      <c r="I29" s="42" t="inlineStr">
        <is>
          <t>PL628</t>
        </is>
      </c>
      <c r="J29" s="42" t="inlineStr">
        <is>
          <t>B - สำคัญ</t>
        </is>
      </c>
      <c r="K29" s="42" t="inlineStr">
        <is>
          <t>—</t>
        </is>
      </c>
      <c r="L29" s="43" t="inlineStr">
        <is>
          <t>📋 นัดหมาย</t>
        </is>
      </c>
    </row>
    <row r="30" ht="14" customHeight="1">
      <c r="A30" s="42" t="n">
        <v>27</v>
      </c>
      <c r="B30" s="43" t="inlineStr">
        <is>
          <t>ไลท์อัพ</t>
        </is>
      </c>
      <c r="C30" s="42" t="inlineStr">
        <is>
          <t>B2B อื่นๆ</t>
        </is>
      </c>
      <c r="D30" s="42" t="n">
        <v>2</v>
      </c>
      <c r="E30" s="76" t="n">
        <v>1760687.14</v>
      </c>
      <c r="F30" s="42" t="inlineStr">
        <is>
          <t>1.0%</t>
        </is>
      </c>
      <c r="G30" s="43" t="inlineStr">
        <is>
          <t>High Mast/เสาไฟถนน</t>
        </is>
      </c>
      <c r="H30" s="42" t="inlineStr">
        <is>
          <t>2026-02</t>
        </is>
      </c>
      <c r="I30" s="42" t="inlineStr">
        <is>
          <t>PL735</t>
        </is>
      </c>
      <c r="J30" s="42" t="inlineStr">
        <is>
          <t>B - สำคัญ</t>
        </is>
      </c>
      <c r="K30" s="42" t="inlineStr">
        <is>
          <t>—</t>
        </is>
      </c>
      <c r="L30" s="43" t="inlineStr">
        <is>
          <t>📋 นัดหมาย</t>
        </is>
      </c>
    </row>
    <row r="31" ht="14" customHeight="1">
      <c r="A31" s="42" t="n">
        <v>28</v>
      </c>
      <c r="B31" s="43" t="inlineStr">
        <is>
          <t>บิว</t>
        </is>
      </c>
      <c r="C31" s="42" t="inlineStr">
        <is>
          <t>B2B อื่นๆ</t>
        </is>
      </c>
      <c r="D31" s="42" t="n">
        <v>1</v>
      </c>
      <c r="E31" s="76" t="n">
        <v>1706890.11</v>
      </c>
      <c r="F31" s="42" t="inlineStr">
        <is>
          <t>0.9%</t>
        </is>
      </c>
      <c r="G31" s="43" t="inlineStr">
        <is>
          <t>เสาไฟถนน</t>
        </is>
      </c>
      <c r="H31" s="42" t="inlineStr">
        <is>
          <t>2026-05</t>
        </is>
      </c>
      <c r="I31" s="42" t="inlineStr">
        <is>
          <t>PL887</t>
        </is>
      </c>
      <c r="J31" s="42" t="inlineStr">
        <is>
          <t>B - สำคัญ</t>
        </is>
      </c>
      <c r="K31" s="42" t="inlineStr">
        <is>
          <t>—</t>
        </is>
      </c>
      <c r="L31" s="43" t="inlineStr">
        <is>
          <t>📋 นัดหมาย</t>
        </is>
      </c>
    </row>
    <row r="32" ht="14" customHeight="1">
      <c r="A32" s="42" t="n">
        <v>29</v>
      </c>
      <c r="B32" s="43" t="inlineStr">
        <is>
          <t>บริษัท บริลลิแอนซ์ จำกัด</t>
        </is>
      </c>
      <c r="C32" s="42" t="inlineStr">
        <is>
          <t>B2B บริษัท</t>
        </is>
      </c>
      <c r="D32" s="42" t="n">
        <v>1</v>
      </c>
      <c r="E32" s="76" t="n">
        <v>1641059</v>
      </c>
      <c r="F32" s="42" t="inlineStr">
        <is>
          <t>0.9%</t>
        </is>
      </c>
      <c r="G32" s="43" t="inlineStr">
        <is>
          <t>เสาไฟถนน</t>
        </is>
      </c>
      <c r="H32" s="42" t="inlineStr">
        <is>
          <t>2026-06</t>
        </is>
      </c>
      <c r="I32" s="42" t="inlineStr">
        <is>
          <t>PL924</t>
        </is>
      </c>
      <c r="J32" s="42" t="inlineStr">
        <is>
          <t>B - สำคัญ</t>
        </is>
      </c>
      <c r="K32" s="42" t="inlineStr">
        <is>
          <t>—</t>
        </is>
      </c>
      <c r="L32" s="43" t="inlineStr">
        <is>
          <t>📋 นัดหมาย</t>
        </is>
      </c>
    </row>
    <row r="33" ht="14" customHeight="1">
      <c r="A33" s="42" t="n">
        <v>30</v>
      </c>
      <c r="B33" s="43" t="inlineStr">
        <is>
          <t>ไอซีซี</t>
        </is>
      </c>
      <c r="C33" s="42" t="inlineStr">
        <is>
          <t>B2B อื่นๆ</t>
        </is>
      </c>
      <c r="D33" s="42" t="n">
        <v>5</v>
      </c>
      <c r="E33" s="76" t="n">
        <v>1586699.97</v>
      </c>
      <c r="F33" s="42" t="inlineStr">
        <is>
          <t>0.9%</t>
        </is>
      </c>
      <c r="G33" s="43" t="inlineStr">
        <is>
          <t>High Mast/อื่นๆ</t>
        </is>
      </c>
      <c r="H33" s="42" t="inlineStr">
        <is>
          <t>2026-03, 2026-04</t>
        </is>
      </c>
      <c r="I33" s="42" t="inlineStr">
        <is>
          <t>PL841</t>
        </is>
      </c>
      <c r="J33" s="42" t="inlineStr">
        <is>
          <t>B - สำคัญ</t>
        </is>
      </c>
      <c r="K33" s="42" t="inlineStr">
        <is>
          <t>—</t>
        </is>
      </c>
      <c r="L33" s="43" t="inlineStr">
        <is>
          <t>📋 นัดหมาย</t>
        </is>
      </c>
    </row>
    <row r="34" ht="14" customHeight="1">
      <c r="A34" s="42" t="n">
        <v>31</v>
      </c>
      <c r="B34" s="43" t="inlineStr">
        <is>
          <t>บ.เอส.บี.อินดัสทรี ซัพพลาย R01</t>
        </is>
      </c>
      <c r="C34" s="42" t="inlineStr">
        <is>
          <t>B2B อื่นๆ</t>
        </is>
      </c>
      <c r="D34" s="42" t="n">
        <v>1</v>
      </c>
      <c r="E34" s="76" t="n">
        <v>1560966.93</v>
      </c>
      <c r="F34" s="42" t="inlineStr">
        <is>
          <t>0.8%</t>
        </is>
      </c>
      <c r="G34" s="43" t="inlineStr">
        <is>
          <t>High Mast</t>
        </is>
      </c>
      <c r="H34" s="42" t="inlineStr">
        <is>
          <t>2026-02</t>
        </is>
      </c>
      <c r="I34" s="42" t="inlineStr">
        <is>
          <t>PL708</t>
        </is>
      </c>
      <c r="J34" s="42" t="inlineStr">
        <is>
          <t>B - สำคัญ</t>
        </is>
      </c>
      <c r="K34" s="42" t="inlineStr">
        <is>
          <t>—</t>
        </is>
      </c>
      <c r="L34" s="43" t="inlineStr">
        <is>
          <t>📋 นัดหมาย</t>
        </is>
      </c>
    </row>
    <row r="35" ht="14" customHeight="1">
      <c r="A35" s="42" t="n">
        <v>32</v>
      </c>
      <c r="B35" s="43" t="inlineStr">
        <is>
          <t>เอเชี่ยน</t>
        </is>
      </c>
      <c r="C35" s="42" t="inlineStr">
        <is>
          <t>B2B อื่นๆ</t>
        </is>
      </c>
      <c r="D35" s="42" t="n">
        <v>2</v>
      </c>
      <c r="E35" s="76" t="n">
        <v>1556803.99</v>
      </c>
      <c r="F35" s="42" t="inlineStr">
        <is>
          <t>0.8%</t>
        </is>
      </c>
      <c r="G35" s="43" t="inlineStr">
        <is>
          <t>High Mast/เสาไฟถนน</t>
        </is>
      </c>
      <c r="H35" s="42" t="inlineStr">
        <is>
          <t>2026-03</t>
        </is>
      </c>
      <c r="I35" s="42" t="inlineStr">
        <is>
          <t>PL785</t>
        </is>
      </c>
      <c r="J35" s="42" t="inlineStr">
        <is>
          <t>B - สำคัญ</t>
        </is>
      </c>
      <c r="K35" s="42" t="inlineStr">
        <is>
          <t>—</t>
        </is>
      </c>
      <c r="L35" s="43" t="inlineStr">
        <is>
          <t>📋 นัดหมาย</t>
        </is>
      </c>
    </row>
    <row r="36" ht="14" customHeight="1">
      <c r="A36" s="42" t="n">
        <v>33</v>
      </c>
      <c r="B36" s="43" t="inlineStr">
        <is>
          <t>กรมท่าอากาศ</t>
        </is>
      </c>
      <c r="C36" s="42" t="inlineStr">
        <is>
          <t>B2G ภาครัฐ</t>
        </is>
      </c>
      <c r="D36" s="42" t="n">
        <v>1</v>
      </c>
      <c r="E36" s="76" t="n">
        <v>1503082.5</v>
      </c>
      <c r="F36" s="42" t="inlineStr">
        <is>
          <t>0.8%</t>
        </is>
      </c>
      <c r="G36" s="43" t="inlineStr">
        <is>
          <t>High Mast</t>
        </is>
      </c>
      <c r="H36" s="42" t="inlineStr">
        <is>
          <t>2026-02</t>
        </is>
      </c>
      <c r="I36" s="42" t="inlineStr">
        <is>
          <t>PL701</t>
        </is>
      </c>
      <c r="J36" s="42" t="inlineStr">
        <is>
          <t>B - สำคัญ</t>
        </is>
      </c>
      <c r="K36" s="42" t="inlineStr">
        <is>
          <t>—</t>
        </is>
      </c>
      <c r="L36" s="43" t="inlineStr">
        <is>
          <t>📋 นัดหมาย</t>
        </is>
      </c>
    </row>
    <row r="37" ht="14" customHeight="1">
      <c r="A37" s="42" t="n">
        <v>34</v>
      </c>
      <c r="B37" s="43" t="inlineStr">
        <is>
          <t>บ.ควินตัส แอดวานซ์</t>
        </is>
      </c>
      <c r="C37" s="42" t="inlineStr">
        <is>
          <t>B2B อื่นๆ</t>
        </is>
      </c>
      <c r="D37" s="42" t="n">
        <v>2</v>
      </c>
      <c r="E37" s="76" t="n">
        <v>1461384.6</v>
      </c>
      <c r="F37" s="42" t="inlineStr">
        <is>
          <t>0.8%</t>
        </is>
      </c>
      <c r="G37" s="43" t="inlineStr">
        <is>
          <t>High Mast</t>
        </is>
      </c>
      <c r="H37" s="42" t="inlineStr">
        <is>
          <t>2026-03, 2026-04</t>
        </is>
      </c>
      <c r="I37" s="42" t="inlineStr">
        <is>
          <t>PL822</t>
        </is>
      </c>
      <c r="J37" s="42" t="inlineStr">
        <is>
          <t>B - สำคัญ</t>
        </is>
      </c>
      <c r="K37" s="42" t="inlineStr">
        <is>
          <t>DOA</t>
        </is>
      </c>
      <c r="L37" s="43" t="inlineStr">
        <is>
          <t>📋 นัดหมาย</t>
        </is>
      </c>
    </row>
    <row r="38" ht="14" customHeight="1">
      <c r="A38" s="42" t="n">
        <v>35</v>
      </c>
      <c r="B38" s="43" t="inlineStr">
        <is>
          <t>เทศบาลเมืองตราด</t>
        </is>
      </c>
      <c r="C38" s="42" t="inlineStr">
        <is>
          <t>B2G อปท.</t>
        </is>
      </c>
      <c r="D38" s="42" t="n">
        <v>1</v>
      </c>
      <c r="E38" s="76" t="n">
        <v>1328481.83</v>
      </c>
      <c r="F38" s="42" t="inlineStr">
        <is>
          <t>0.7%</t>
        </is>
      </c>
      <c r="G38" s="43" t="inlineStr">
        <is>
          <t>High Mast</t>
        </is>
      </c>
      <c r="H38" s="42" t="inlineStr">
        <is>
          <t>2026-06</t>
        </is>
      </c>
      <c r="I38" s="42" t="inlineStr">
        <is>
          <t>PL938</t>
        </is>
      </c>
      <c r="J38" s="42" t="inlineStr">
        <is>
          <t>B - สำคัญ</t>
        </is>
      </c>
      <c r="K38" s="42" t="inlineStr">
        <is>
          <t>—</t>
        </is>
      </c>
      <c r="L38" s="43" t="inlineStr">
        <is>
          <t>📋 นัดหมาย</t>
        </is>
      </c>
    </row>
    <row r="39" ht="14" customHeight="1">
      <c r="A39" s="42" t="n">
        <v>36</v>
      </c>
      <c r="B39" s="43" t="inlineStr">
        <is>
          <t>บริษัท โกลว์ พาวเวอร์ เทคโนโลยี จำกัด</t>
        </is>
      </c>
      <c r="C39" s="42" t="inlineStr">
        <is>
          <t>B2B บริษัท</t>
        </is>
      </c>
      <c r="D39" s="42" t="n">
        <v>1</v>
      </c>
      <c r="E39" s="76" t="n">
        <v>1304009</v>
      </c>
      <c r="F39" s="42" t="inlineStr">
        <is>
          <t>0.7%</t>
        </is>
      </c>
      <c r="G39" s="43" t="inlineStr">
        <is>
          <t>เสาไฟถนน</t>
        </is>
      </c>
      <c r="H39" s="42" t="inlineStr">
        <is>
          <t>2026-05</t>
        </is>
      </c>
      <c r="I39" s="42" t="inlineStr">
        <is>
          <t>PL875</t>
        </is>
      </c>
      <c r="J39" s="42" t="inlineStr">
        <is>
          <t>B - สำคัญ</t>
        </is>
      </c>
      <c r="K39" s="42" t="inlineStr">
        <is>
          <t>EGAT</t>
        </is>
      </c>
      <c r="L39" s="43" t="inlineStr">
        <is>
          <t>📋 นัดหมาย</t>
        </is>
      </c>
    </row>
    <row r="40" ht="14" customHeight="1">
      <c r="A40" s="42" t="n">
        <v>37</v>
      </c>
      <c r="B40" s="43" t="inlineStr">
        <is>
          <t>ดับเบิ้ลเอ เอ็นจิเนียริ่ง  Hight Mass 15</t>
        </is>
      </c>
      <c r="C40" s="42" t="inlineStr">
        <is>
          <t>B2B อื่นๆ</t>
        </is>
      </c>
      <c r="D40" s="42" t="n">
        <v>1</v>
      </c>
      <c r="E40" s="76" t="n">
        <v>1217005.16</v>
      </c>
      <c r="F40" s="42" t="inlineStr">
        <is>
          <t>0.7%</t>
        </is>
      </c>
      <c r="G40" s="43" t="inlineStr">
        <is>
          <t>High Mast</t>
        </is>
      </c>
      <c r="H40" s="42" t="inlineStr">
        <is>
          <t>2026-03</t>
        </is>
      </c>
      <c r="I40" s="42" t="inlineStr">
        <is>
          <t>PL771</t>
        </is>
      </c>
      <c r="J40" s="42" t="inlineStr">
        <is>
          <t>B - สำคัญ</t>
        </is>
      </c>
      <c r="K40" s="42" t="inlineStr">
        <is>
          <t>—</t>
        </is>
      </c>
      <c r="L40" s="43" t="inlineStr">
        <is>
          <t>📋 นัดหมาย</t>
        </is>
      </c>
    </row>
    <row r="41" ht="14" customHeight="1">
      <c r="A41" s="42" t="n">
        <v>38</v>
      </c>
      <c r="B41" s="43" t="inlineStr">
        <is>
          <t>นราภรณ์</t>
        </is>
      </c>
      <c r="C41" s="42" t="inlineStr">
        <is>
          <t>B2B อื่นๆ</t>
        </is>
      </c>
      <c r="D41" s="42" t="n">
        <v>3</v>
      </c>
      <c r="E41" s="76" t="n">
        <v>1213078.15</v>
      </c>
      <c r="F41" s="42" t="inlineStr">
        <is>
          <t>0.7%</t>
        </is>
      </c>
      <c r="G41" s="43" t="inlineStr">
        <is>
          <t>เสาไฟถนน/อื่นๆ</t>
        </is>
      </c>
      <c r="H41" s="42" t="inlineStr">
        <is>
          <t>2026-02, 2026-03</t>
        </is>
      </c>
      <c r="I41" s="42" t="inlineStr">
        <is>
          <t>PL748</t>
        </is>
      </c>
      <c r="J41" s="42" t="inlineStr">
        <is>
          <t>B - สำคัญ</t>
        </is>
      </c>
      <c r="K41" s="42" t="inlineStr">
        <is>
          <t>—</t>
        </is>
      </c>
      <c r="L41" s="43" t="inlineStr">
        <is>
          <t>📋 นัดหมาย</t>
        </is>
      </c>
    </row>
    <row r="42" ht="14" customHeight="1">
      <c r="A42" s="42" t="n">
        <v>39</v>
      </c>
      <c r="B42" s="43" t="inlineStr">
        <is>
          <t>ศิรประภาก่อสร้าง</t>
        </is>
      </c>
      <c r="C42" s="42" t="inlineStr">
        <is>
          <t>B2B อื่นๆ</t>
        </is>
      </c>
      <c r="D42" s="42" t="n">
        <v>2</v>
      </c>
      <c r="E42" s="76" t="n">
        <v>1173697.98</v>
      </c>
      <c r="F42" s="42" t="inlineStr">
        <is>
          <t>0.6%</t>
        </is>
      </c>
      <c r="G42" s="43" t="inlineStr">
        <is>
          <t>เสาไฟถนน</t>
        </is>
      </c>
      <c r="H42" s="42" t="inlineStr">
        <is>
          <t>2026-01, 2026-02</t>
        </is>
      </c>
      <c r="I42" s="42" t="inlineStr">
        <is>
          <t>PL683</t>
        </is>
      </c>
      <c r="J42" s="42" t="inlineStr">
        <is>
          <t>B - สำคัญ</t>
        </is>
      </c>
      <c r="K42" s="42" t="inlineStr">
        <is>
          <t>—</t>
        </is>
      </c>
      <c r="L42" s="43" t="inlineStr">
        <is>
          <t>📋 นัดหมาย</t>
        </is>
      </c>
    </row>
    <row r="43" ht="14" customHeight="1">
      <c r="A43" s="42" t="n">
        <v>40</v>
      </c>
      <c r="B43" s="43" t="inlineStr">
        <is>
          <t>ณัชนันท์ พีเอ</t>
        </is>
      </c>
      <c r="C43" s="42" t="inlineStr">
        <is>
          <t>B2B อื่นๆ</t>
        </is>
      </c>
      <c r="D43" s="42" t="n">
        <v>2</v>
      </c>
      <c r="E43" s="76" t="n">
        <v>1161219.64</v>
      </c>
      <c r="F43" s="42" t="inlineStr">
        <is>
          <t>0.6%</t>
        </is>
      </c>
      <c r="G43" s="43" t="inlineStr">
        <is>
          <t>เสาไฟถนน</t>
        </is>
      </c>
      <c r="H43" s="42" t="inlineStr">
        <is>
          <t>2026-05, 2026-06</t>
        </is>
      </c>
      <c r="I43" s="42" t="inlineStr">
        <is>
          <t>PL920</t>
        </is>
      </c>
      <c r="J43" s="42" t="inlineStr">
        <is>
          <t>B - สำคัญ</t>
        </is>
      </c>
      <c r="K43" s="42" t="inlineStr">
        <is>
          <t>—</t>
        </is>
      </c>
      <c r="L43" s="43" t="inlineStr">
        <is>
          <t>📋 นัดหมาย</t>
        </is>
      </c>
    </row>
    <row r="44" ht="14" customHeight="1">
      <c r="A44" s="42" t="n">
        <v>41</v>
      </c>
      <c r="B44" s="43" t="inlineStr">
        <is>
          <t>อินเตอร์ เอ็กซ์เพิร์ท</t>
        </is>
      </c>
      <c r="C44" s="42" t="inlineStr">
        <is>
          <t>B2B อื่นๆ</t>
        </is>
      </c>
      <c r="D44" s="42" t="n">
        <v>1</v>
      </c>
      <c r="E44" s="76" t="n">
        <v>1143338.44</v>
      </c>
      <c r="F44" s="42" t="inlineStr">
        <is>
          <t>0.6%</t>
        </is>
      </c>
      <c r="G44" s="43" t="inlineStr">
        <is>
          <t>High Mast</t>
        </is>
      </c>
      <c r="H44" s="42" t="inlineStr">
        <is>
          <t>2026-01</t>
        </is>
      </c>
      <c r="I44" s="42" t="inlineStr">
        <is>
          <t>PL607</t>
        </is>
      </c>
      <c r="J44" s="42" t="inlineStr">
        <is>
          <t>B - สำคัญ</t>
        </is>
      </c>
      <c r="K44" s="42" t="inlineStr">
        <is>
          <t>—</t>
        </is>
      </c>
      <c r="L44" s="43" t="inlineStr">
        <is>
          <t>📋 นัดหมาย</t>
        </is>
      </c>
    </row>
    <row r="45" ht="14" customHeight="1">
      <c r="A45" s="42" t="n">
        <v>42</v>
      </c>
      <c r="B45" s="43" t="inlineStr">
        <is>
          <t>อินเตอร์ เอ็กซ์เพิร์ท  R03</t>
        </is>
      </c>
      <c r="C45" s="42" t="inlineStr">
        <is>
          <t>B2B อื่นๆ</t>
        </is>
      </c>
      <c r="D45" s="42" t="n">
        <v>1</v>
      </c>
      <c r="E45" s="76" t="n">
        <v>1088234.51</v>
      </c>
      <c r="F45" s="42" t="inlineStr">
        <is>
          <t>0.6%</t>
        </is>
      </c>
      <c r="G45" s="43" t="inlineStr">
        <is>
          <t>High Mast</t>
        </is>
      </c>
      <c r="H45" s="42" t="inlineStr">
        <is>
          <t>2026-01</t>
        </is>
      </c>
      <c r="I45" s="42" t="inlineStr">
        <is>
          <t>PL620</t>
        </is>
      </c>
      <c r="J45" s="42" t="inlineStr">
        <is>
          <t>B - สำคัญ</t>
        </is>
      </c>
      <c r="K45" s="42" t="inlineStr">
        <is>
          <t>—</t>
        </is>
      </c>
      <c r="L45" s="43" t="inlineStr">
        <is>
          <t>📋 นัดหมาย</t>
        </is>
      </c>
    </row>
    <row r="46" ht="14" customHeight="1">
      <c r="A46" s="42" t="n">
        <v>43</v>
      </c>
      <c r="B46" s="43" t="inlineStr">
        <is>
          <t>บริษัท โพรเซสเอ็นจิเนียรแอนดคอนซัลแทนท จำกัด</t>
        </is>
      </c>
      <c r="C46" s="42" t="inlineStr">
        <is>
          <t>B2B บริษัท</t>
        </is>
      </c>
      <c r="D46" s="42" t="n">
        <v>1</v>
      </c>
      <c r="E46" s="76" t="n">
        <v>1080246.32</v>
      </c>
      <c r="F46" s="42" t="inlineStr">
        <is>
          <t>0.6%</t>
        </is>
      </c>
      <c r="G46" s="43" t="inlineStr">
        <is>
          <t>High Mast</t>
        </is>
      </c>
      <c r="H46" s="42" t="inlineStr">
        <is>
          <t>2026-06</t>
        </is>
      </c>
      <c r="I46" s="42" t="inlineStr">
        <is>
          <t>PL940</t>
        </is>
      </c>
      <c r="J46" s="42" t="inlineStr">
        <is>
          <t>B - สำคัญ</t>
        </is>
      </c>
      <c r="K46" s="42" t="inlineStr">
        <is>
          <t>—</t>
        </is>
      </c>
      <c r="L46" s="43" t="inlineStr">
        <is>
          <t>📋 นัดหมาย</t>
        </is>
      </c>
    </row>
    <row r="47" ht="14" customHeight="1">
      <c r="A47" s="42" t="n">
        <v>44</v>
      </c>
      <c r="B47" s="43" t="inlineStr">
        <is>
          <t>ไลท์คอนเนอร์</t>
        </is>
      </c>
      <c r="C47" s="42" t="inlineStr">
        <is>
          <t>B2B อื่นๆ</t>
        </is>
      </c>
      <c r="D47" s="42" t="n">
        <v>1</v>
      </c>
      <c r="E47" s="76" t="n">
        <v>1069572</v>
      </c>
      <c r="F47" s="42" t="inlineStr">
        <is>
          <t>0.6%</t>
        </is>
      </c>
      <c r="G47" s="43" t="inlineStr">
        <is>
          <t>อื่นๆ</t>
        </is>
      </c>
      <c r="H47" s="42" t="inlineStr">
        <is>
          <t>2026-03</t>
        </is>
      </c>
      <c r="I47" s="42" t="inlineStr">
        <is>
          <t>PL751</t>
        </is>
      </c>
      <c r="J47" s="42" t="inlineStr">
        <is>
          <t>B - สำคัญ</t>
        </is>
      </c>
      <c r="K47" s="42" t="inlineStr">
        <is>
          <t>—</t>
        </is>
      </c>
      <c r="L47" s="43" t="inlineStr">
        <is>
          <t>📋 นัดหมาย</t>
        </is>
      </c>
    </row>
    <row r="48" ht="14" customHeight="1">
      <c r="A48" s="42" t="n">
        <v>45</v>
      </c>
      <c r="B48" s="43" t="inlineStr">
        <is>
          <t>ยูเนี่ยนกัลวาไนซ์</t>
        </is>
      </c>
      <c r="C48" s="42" t="inlineStr">
        <is>
          <t>B2B อื่นๆ</t>
        </is>
      </c>
      <c r="D48" s="42" t="n">
        <v>1</v>
      </c>
      <c r="E48" s="76" t="n">
        <v>1064538.72</v>
      </c>
      <c r="F48" s="42" t="inlineStr">
        <is>
          <t>0.6%</t>
        </is>
      </c>
      <c r="G48" s="43" t="inlineStr">
        <is>
          <t>High Mast</t>
        </is>
      </c>
      <c r="H48" s="42" t="inlineStr">
        <is>
          <t>2026-02</t>
        </is>
      </c>
      <c r="I48" s="42" t="inlineStr">
        <is>
          <t>PL691</t>
        </is>
      </c>
      <c r="J48" s="42" t="inlineStr">
        <is>
          <t>B - สำคัญ</t>
        </is>
      </c>
      <c r="K48" s="42" t="inlineStr">
        <is>
          <t>—</t>
        </is>
      </c>
      <c r="L48" s="43" t="inlineStr">
        <is>
          <t>📋 นัดหมาย</t>
        </is>
      </c>
    </row>
    <row r="49" ht="14" customHeight="1">
      <c r="A49" s="42" t="n">
        <v>46</v>
      </c>
      <c r="B49" s="43" t="inlineStr">
        <is>
          <t>เค บี เอ็ม   18ม.</t>
        </is>
      </c>
      <c r="C49" s="42" t="inlineStr">
        <is>
          <t>B2B อื่นๆ</t>
        </is>
      </c>
      <c r="D49" s="42" t="n">
        <v>1</v>
      </c>
      <c r="E49" s="76" t="n">
        <v>1034968.2</v>
      </c>
      <c r="F49" s="42" t="inlineStr">
        <is>
          <t>0.6%</t>
        </is>
      </c>
      <c r="G49" s="43" t="inlineStr">
        <is>
          <t>High Mast</t>
        </is>
      </c>
      <c r="H49" s="42" t="inlineStr">
        <is>
          <t>2026-06</t>
        </is>
      </c>
      <c r="I49" s="42" t="inlineStr">
        <is>
          <t>PL933</t>
        </is>
      </c>
      <c r="J49" s="42" t="inlineStr">
        <is>
          <t>B - สำคัญ</t>
        </is>
      </c>
      <c r="K49" s="42" t="inlineStr">
        <is>
          <t>อปท. Supply</t>
        </is>
      </c>
      <c r="L49" s="43" t="inlineStr">
        <is>
          <t>📋 นัดหมาย</t>
        </is>
      </c>
    </row>
    <row r="50" ht="14" customHeight="1">
      <c r="A50" s="42" t="n">
        <v>47</v>
      </c>
      <c r="B50" s="43" t="inlineStr">
        <is>
          <t>บ.เจมินี เทค กรมท่ากระบี่</t>
        </is>
      </c>
      <c r="C50" s="42" t="inlineStr">
        <is>
          <t>B2G ภาครัฐ</t>
        </is>
      </c>
      <c r="D50" s="42" t="n">
        <v>2</v>
      </c>
      <c r="E50" s="76" t="n">
        <v>1006335</v>
      </c>
      <c r="F50" s="42" t="inlineStr">
        <is>
          <t>0.5%</t>
        </is>
      </c>
      <c r="G50" s="43" t="inlineStr">
        <is>
          <t>เสาไฟถนน/อื่นๆ</t>
        </is>
      </c>
      <c r="H50" s="42" t="inlineStr">
        <is>
          <t>2026-04, 2026-05</t>
        </is>
      </c>
      <c r="I50" s="42" t="inlineStr">
        <is>
          <t>PL909</t>
        </is>
      </c>
      <c r="J50" s="42" t="inlineStr">
        <is>
          <t>B - สำคัญ</t>
        </is>
      </c>
      <c r="K50" s="42" t="inlineStr">
        <is>
          <t>DOA</t>
        </is>
      </c>
      <c r="L50" s="43" t="inlineStr">
        <is>
          <t>📋 นัดหมาย</t>
        </is>
      </c>
    </row>
    <row r="51" ht="14" customHeight="1">
      <c r="A51" s="38" t="n">
        <v>48</v>
      </c>
      <c r="B51" s="39" t="inlineStr">
        <is>
          <t>บ. เอฟดี</t>
        </is>
      </c>
      <c r="C51" s="38" t="inlineStr">
        <is>
          <t>B2B อื่นๆ</t>
        </is>
      </c>
      <c r="D51" s="38" t="n">
        <v>1</v>
      </c>
      <c r="E51" s="77" t="n">
        <v>952390.95</v>
      </c>
      <c r="F51" s="38" t="inlineStr">
        <is>
          <t>0.5%</t>
        </is>
      </c>
      <c r="G51" s="39" t="inlineStr">
        <is>
          <t>LED Floodlight</t>
        </is>
      </c>
      <c r="H51" s="38" t="inlineStr">
        <is>
          <t>2026-04</t>
        </is>
      </c>
      <c r="I51" s="38" t="inlineStr">
        <is>
          <t>PL801</t>
        </is>
      </c>
      <c r="J51" s="38" t="inlineStr">
        <is>
          <t>C - ทั่วไป</t>
        </is>
      </c>
      <c r="K51" s="38" t="inlineStr">
        <is>
          <t>—</t>
        </is>
      </c>
      <c r="L51" s="39" t="inlineStr">
        <is>
          <t>📧 ส่ง Email</t>
        </is>
      </c>
    </row>
    <row r="52" ht="14" customHeight="1">
      <c r="A52" s="38" t="n">
        <v>49</v>
      </c>
      <c r="B52" s="39" t="inlineStr">
        <is>
          <t>ช.รุ่งแสงไลท์ติ้ง</t>
        </is>
      </c>
      <c r="C52" s="38" t="inlineStr">
        <is>
          <t>B2B อื่นๆ</t>
        </is>
      </c>
      <c r="D52" s="38" t="n">
        <v>1</v>
      </c>
      <c r="E52" s="77" t="n">
        <v>950975.34</v>
      </c>
      <c r="F52" s="38" t="inlineStr">
        <is>
          <t>0.5%</t>
        </is>
      </c>
      <c r="G52" s="39" t="inlineStr">
        <is>
          <t>เสาไฟถนน</t>
        </is>
      </c>
      <c r="H52" s="38" t="inlineStr">
        <is>
          <t>2026-04</t>
        </is>
      </c>
      <c r="I52" s="38" t="inlineStr">
        <is>
          <t>PL830</t>
        </is>
      </c>
      <c r="J52" s="38" t="inlineStr">
        <is>
          <t>C - ทั่วไป</t>
        </is>
      </c>
      <c r="K52" s="38" t="inlineStr">
        <is>
          <t>—</t>
        </is>
      </c>
      <c r="L52" s="39" t="inlineStr">
        <is>
          <t>📧 ส่ง Email</t>
        </is>
      </c>
    </row>
    <row r="53" ht="14" customHeight="1">
      <c r="A53" s="38" t="n">
        <v>50</v>
      </c>
      <c r="B53" s="39" t="inlineStr">
        <is>
          <t>อี อี เอส ที เรซซิ่ง 2.5</t>
        </is>
      </c>
      <c r="C53" s="38" t="inlineStr">
        <is>
          <t>B2B อื่นๆ</t>
        </is>
      </c>
      <c r="D53" s="38" t="n">
        <v>1</v>
      </c>
      <c r="E53" s="77" t="n">
        <v>927869.4399999999</v>
      </c>
      <c r="F53" s="38" t="inlineStr">
        <is>
          <t>0.5%</t>
        </is>
      </c>
      <c r="G53" s="39" t="inlineStr">
        <is>
          <t>Guard Rail / การ์ดเรล</t>
        </is>
      </c>
      <c r="H53" s="38" t="inlineStr">
        <is>
          <t>2026-05</t>
        </is>
      </c>
      <c r="I53" s="38" t="inlineStr">
        <is>
          <t>PL901</t>
        </is>
      </c>
      <c r="J53" s="38" t="inlineStr">
        <is>
          <t>C - ทั่วไป</t>
        </is>
      </c>
      <c r="K53" s="38" t="inlineStr">
        <is>
          <t>—</t>
        </is>
      </c>
      <c r="L53" s="39" t="inlineStr">
        <is>
          <t>📧 ส่ง Email</t>
        </is>
      </c>
    </row>
    <row r="54" ht="14" customHeight="1">
      <c r="A54" s="38" t="n">
        <v>51</v>
      </c>
      <c r="B54" s="39" t="inlineStr">
        <is>
          <t>แสงนิยม</t>
        </is>
      </c>
      <c r="C54" s="38" t="inlineStr">
        <is>
          <t>B2B อื่นๆ</t>
        </is>
      </c>
      <c r="D54" s="38" t="n">
        <v>1</v>
      </c>
      <c r="E54" s="77" t="n">
        <v>920670.8</v>
      </c>
      <c r="F54" s="38" t="inlineStr">
        <is>
          <t>0.5%</t>
        </is>
      </c>
      <c r="G54" s="39" t="inlineStr">
        <is>
          <t>เสาไฟถนน</t>
        </is>
      </c>
      <c r="H54" s="38" t="inlineStr">
        <is>
          <t>2026-05</t>
        </is>
      </c>
      <c r="I54" s="38" t="inlineStr">
        <is>
          <t>PL877</t>
        </is>
      </c>
      <c r="J54" s="38" t="inlineStr">
        <is>
          <t>C - ทั่วไป</t>
        </is>
      </c>
      <c r="K54" s="38" t="inlineStr">
        <is>
          <t>—</t>
        </is>
      </c>
      <c r="L54" s="39" t="inlineStr">
        <is>
          <t>📧 ส่ง Email</t>
        </is>
      </c>
    </row>
    <row r="55" ht="14" customHeight="1">
      <c r="A55" s="38" t="n">
        <v>52</v>
      </c>
      <c r="B55" s="39" t="inlineStr">
        <is>
          <t>SI / บริษัท ซีซีทีวี (ประเทศไทย) จำกัด</t>
        </is>
      </c>
      <c r="C55" s="38" t="inlineStr">
        <is>
          <t>B2B บริษัท</t>
        </is>
      </c>
      <c r="D55" s="38" t="n">
        <v>2</v>
      </c>
      <c r="E55" s="77" t="n">
        <v>920307</v>
      </c>
      <c r="F55" s="38" t="inlineStr">
        <is>
          <t>0.5%</t>
        </is>
      </c>
      <c r="G55" s="39" t="inlineStr">
        <is>
          <t>LED Streetlight/อื่นๆ</t>
        </is>
      </c>
      <c r="H55" s="38" t="inlineStr">
        <is>
          <t>2026-04</t>
        </is>
      </c>
      <c r="I55" s="38" t="inlineStr">
        <is>
          <t>PL847</t>
        </is>
      </c>
      <c r="J55" s="38" t="inlineStr">
        <is>
          <t>C - ทั่วไป</t>
        </is>
      </c>
      <c r="K55" s="38" t="inlineStr">
        <is>
          <t>ZETA-iOT</t>
        </is>
      </c>
      <c r="L55" s="39" t="inlineStr">
        <is>
          <t>📧 ส่ง Email</t>
        </is>
      </c>
    </row>
    <row r="56" ht="14" customHeight="1">
      <c r="A56" s="38" t="n">
        <v>53</v>
      </c>
      <c r="B56" s="39" t="inlineStr">
        <is>
          <t>ที.เอ็ม.ซี.อุตสาหกรรม</t>
        </is>
      </c>
      <c r="C56" s="38" t="inlineStr">
        <is>
          <t>B2B อื่นๆ</t>
        </is>
      </c>
      <c r="D56" s="38" t="n">
        <v>1</v>
      </c>
      <c r="E56" s="77" t="n">
        <v>913477.4</v>
      </c>
      <c r="F56" s="38" t="inlineStr">
        <is>
          <t>0.5%</t>
        </is>
      </c>
      <c r="G56" s="39" t="inlineStr">
        <is>
          <t>เสาไฟถนน</t>
        </is>
      </c>
      <c r="H56" s="38" t="inlineStr">
        <is>
          <t>2026-02</t>
        </is>
      </c>
      <c r="I56" s="38" t="inlineStr">
        <is>
          <t>PL725</t>
        </is>
      </c>
      <c r="J56" s="38" t="inlineStr">
        <is>
          <t>C - ทั่วไป</t>
        </is>
      </c>
      <c r="K56" s="38" t="inlineStr">
        <is>
          <t>—</t>
        </is>
      </c>
      <c r="L56" s="39" t="inlineStr">
        <is>
          <t>📧 ส่ง Email</t>
        </is>
      </c>
    </row>
    <row r="57" ht="14" customHeight="1">
      <c r="A57" s="38" t="n">
        <v>54</v>
      </c>
      <c r="B57" s="39" t="inlineStr">
        <is>
          <t>องค์การบริหารส่วนตำบลตาขัน</t>
        </is>
      </c>
      <c r="C57" s="38" t="inlineStr">
        <is>
          <t>B2G อปท.</t>
        </is>
      </c>
      <c r="D57" s="38" t="n">
        <v>1</v>
      </c>
      <c r="E57" s="77" t="n">
        <v>904688.65</v>
      </c>
      <c r="F57" s="38" t="inlineStr">
        <is>
          <t>0.5%</t>
        </is>
      </c>
      <c r="G57" s="39" t="inlineStr">
        <is>
          <t>Guard Rail / การ์ดเรล</t>
        </is>
      </c>
      <c r="H57" s="38" t="inlineStr">
        <is>
          <t>2026-06</t>
        </is>
      </c>
      <c r="I57" s="38" t="inlineStr">
        <is>
          <t>PL939</t>
        </is>
      </c>
      <c r="J57" s="38" t="inlineStr">
        <is>
          <t>C - ทั่วไป</t>
        </is>
      </c>
      <c r="K57" s="38" t="inlineStr">
        <is>
          <t>—</t>
        </is>
      </c>
      <c r="L57" s="39" t="inlineStr">
        <is>
          <t>📧 ส่ง Email</t>
        </is>
      </c>
    </row>
    <row r="58" ht="14" customHeight="1">
      <c r="A58" s="38" t="n">
        <v>55</v>
      </c>
      <c r="B58" s="39" t="inlineStr">
        <is>
          <t>ZETA-SI / บริษัท ซีซีทีวี (ประเทศไทย) จำกัด</t>
        </is>
      </c>
      <c r="C58" s="38" t="inlineStr">
        <is>
          <t>B2B บริษัท</t>
        </is>
      </c>
      <c r="D58" s="38" t="n">
        <v>1</v>
      </c>
      <c r="E58" s="77" t="n">
        <v>897462.5</v>
      </c>
      <c r="F58" s="38" t="inlineStr">
        <is>
          <t>0.5%</t>
        </is>
      </c>
      <c r="G58" s="39" t="inlineStr">
        <is>
          <t>อื่นๆ</t>
        </is>
      </c>
      <c r="H58" s="38" t="inlineStr">
        <is>
          <t>2026-04</t>
        </is>
      </c>
      <c r="I58" s="38" t="inlineStr">
        <is>
          <t>PL811</t>
        </is>
      </c>
      <c r="J58" s="38" t="inlineStr">
        <is>
          <t>C - ทั่วไป</t>
        </is>
      </c>
      <c r="K58" s="38" t="inlineStr">
        <is>
          <t>ZETA-iOT</t>
        </is>
      </c>
      <c r="L58" s="39" t="inlineStr">
        <is>
          <t>📧 ส่ง Email</t>
        </is>
      </c>
    </row>
    <row r="59" ht="14" customHeight="1">
      <c r="A59" s="38" t="n">
        <v>56</v>
      </c>
      <c r="B59" s="39" t="inlineStr">
        <is>
          <t>บ.  ทริปเปิ้ล 89 เอ็นจิเนียริ่ง</t>
        </is>
      </c>
      <c r="C59" s="38" t="inlineStr">
        <is>
          <t>B2B อื่นๆ</t>
        </is>
      </c>
      <c r="D59" s="38" t="n">
        <v>1</v>
      </c>
      <c r="E59" s="77" t="n">
        <v>880824</v>
      </c>
      <c r="F59" s="38" t="inlineStr">
        <is>
          <t>0.5%</t>
        </is>
      </c>
      <c r="G59" s="39" t="inlineStr">
        <is>
          <t>เสาไฟถนน</t>
        </is>
      </c>
      <c r="H59" s="38" t="inlineStr">
        <is>
          <t>2026-02</t>
        </is>
      </c>
      <c r="I59" s="38" t="inlineStr">
        <is>
          <t>PL681</t>
        </is>
      </c>
      <c r="J59" s="38" t="inlineStr">
        <is>
          <t>C - ทั่วไป</t>
        </is>
      </c>
      <c r="K59" s="38" t="inlineStr">
        <is>
          <t>—</t>
        </is>
      </c>
      <c r="L59" s="39" t="inlineStr">
        <is>
          <t>📧 ส่ง Email</t>
        </is>
      </c>
    </row>
    <row r="60" ht="14" customHeight="1">
      <c r="A60" s="38" t="n">
        <v>57</v>
      </c>
      <c r="B60" s="39" t="inlineStr">
        <is>
          <t>บี เอ็ม เค</t>
        </is>
      </c>
      <c r="C60" s="38" t="inlineStr">
        <is>
          <t>B2B อื่นๆ</t>
        </is>
      </c>
      <c r="D60" s="38" t="n">
        <v>1</v>
      </c>
      <c r="E60" s="77" t="n">
        <v>867548.72</v>
      </c>
      <c r="F60" s="38" t="inlineStr">
        <is>
          <t>0.5%</t>
        </is>
      </c>
      <c r="G60" s="39" t="inlineStr">
        <is>
          <t>High Mast</t>
        </is>
      </c>
      <c r="H60" s="38" t="inlineStr">
        <is>
          <t>2026-02</t>
        </is>
      </c>
      <c r="I60" s="38" t="inlineStr">
        <is>
          <t>PL716</t>
        </is>
      </c>
      <c r="J60" s="38" t="inlineStr">
        <is>
          <t>C - ทั่วไป</t>
        </is>
      </c>
      <c r="K60" s="38" t="inlineStr">
        <is>
          <t>—</t>
        </is>
      </c>
      <c r="L60" s="39" t="inlineStr">
        <is>
          <t>📧 ส่ง Email</t>
        </is>
      </c>
    </row>
    <row r="61" ht="14" customHeight="1">
      <c r="A61" s="38" t="n">
        <v>58</v>
      </c>
      <c r="B61" s="39" t="inlineStr">
        <is>
          <t>เอ็ม เอ็น</t>
        </is>
      </c>
      <c r="C61" s="38" t="inlineStr">
        <is>
          <t>B2B อื่นๆ</t>
        </is>
      </c>
      <c r="D61" s="38" t="n">
        <v>1</v>
      </c>
      <c r="E61" s="77" t="n">
        <v>861361.98</v>
      </c>
      <c r="F61" s="38" t="inlineStr">
        <is>
          <t>0.5%</t>
        </is>
      </c>
      <c r="G61" s="39" t="inlineStr">
        <is>
          <t>เสาไฟถนน</t>
        </is>
      </c>
      <c r="H61" s="38" t="inlineStr">
        <is>
          <t>2026-05</t>
        </is>
      </c>
      <c r="I61" s="38" t="inlineStr">
        <is>
          <t>PL862</t>
        </is>
      </c>
      <c r="J61" s="38" t="inlineStr">
        <is>
          <t>C - ทั่วไป</t>
        </is>
      </c>
      <c r="K61" s="38" t="inlineStr">
        <is>
          <t>—</t>
        </is>
      </c>
      <c r="L61" s="39" t="inlineStr">
        <is>
          <t>📧 ส่ง Email</t>
        </is>
      </c>
    </row>
    <row r="62" ht="14" customHeight="1">
      <c r="A62" s="38" t="n">
        <v>59</v>
      </c>
      <c r="B62" s="39" t="inlineStr">
        <is>
          <t>ฐิดาภา ขันทอง</t>
        </is>
      </c>
      <c r="C62" s="38" t="inlineStr">
        <is>
          <t>B2B อื่นๆ</t>
        </is>
      </c>
      <c r="D62" s="38" t="n">
        <v>1</v>
      </c>
      <c r="E62" s="77" t="n">
        <v>848988.5</v>
      </c>
      <c r="F62" s="38" t="inlineStr">
        <is>
          <t>0.5%</t>
        </is>
      </c>
      <c r="G62" s="39" t="inlineStr">
        <is>
          <t>High Mast</t>
        </is>
      </c>
      <c r="H62" s="38" t="inlineStr">
        <is>
          <t>2026-05</t>
        </is>
      </c>
      <c r="I62" s="38" t="inlineStr">
        <is>
          <t>PL898</t>
        </is>
      </c>
      <c r="J62" s="38" t="inlineStr">
        <is>
          <t>C - ทั่วไป</t>
        </is>
      </c>
      <c r="K62" s="38" t="inlineStr">
        <is>
          <t>—</t>
        </is>
      </c>
      <c r="L62" s="39" t="inlineStr">
        <is>
          <t>📧 ส่ง Email</t>
        </is>
      </c>
    </row>
    <row r="63" ht="14" customHeight="1">
      <c r="A63" s="38" t="n">
        <v>60</v>
      </c>
      <c r="B63" s="39" t="inlineStr">
        <is>
          <t>อนุพงษ์</t>
        </is>
      </c>
      <c r="C63" s="38" t="inlineStr">
        <is>
          <t>B2B อื่นๆ</t>
        </is>
      </c>
      <c r="D63" s="38" t="n">
        <v>1</v>
      </c>
      <c r="E63" s="77" t="n">
        <v>772608.48</v>
      </c>
      <c r="F63" s="38" t="inlineStr">
        <is>
          <t>0.4%</t>
        </is>
      </c>
      <c r="G63" s="39" t="inlineStr">
        <is>
          <t>เสาไฟถนน</t>
        </is>
      </c>
      <c r="H63" s="38" t="inlineStr">
        <is>
          <t>2026-01</t>
        </is>
      </c>
      <c r="I63" s="38" t="inlineStr">
        <is>
          <t>PL622</t>
        </is>
      </c>
      <c r="J63" s="38" t="inlineStr">
        <is>
          <t>C - ทั่วไป</t>
        </is>
      </c>
      <c r="K63" s="38" t="inlineStr">
        <is>
          <t>—</t>
        </is>
      </c>
      <c r="L63" s="39" t="inlineStr">
        <is>
          <t>📧 ส่ง Email</t>
        </is>
      </c>
    </row>
    <row r="64" ht="14" customHeight="1">
      <c r="A64" s="38" t="n">
        <v>61</v>
      </c>
      <c r="B64" s="39" t="inlineStr">
        <is>
          <t>เค บี เอ็ม 15ม.</t>
        </is>
      </c>
      <c r="C64" s="38" t="inlineStr">
        <is>
          <t>B2B อื่นๆ</t>
        </is>
      </c>
      <c r="D64" s="38" t="n">
        <v>1</v>
      </c>
      <c r="E64" s="77" t="n">
        <v>761703.04</v>
      </c>
      <c r="F64" s="38" t="inlineStr">
        <is>
          <t>0.4%</t>
        </is>
      </c>
      <c r="G64" s="39" t="inlineStr">
        <is>
          <t>High Mast</t>
        </is>
      </c>
      <c r="H64" s="38" t="inlineStr">
        <is>
          <t>2026-05</t>
        </is>
      </c>
      <c r="I64" s="38" t="inlineStr">
        <is>
          <t>PL905</t>
        </is>
      </c>
      <c r="J64" s="38" t="inlineStr">
        <is>
          <t>C - ทั่วไป</t>
        </is>
      </c>
      <c r="K64" s="38" t="inlineStr">
        <is>
          <t>อปท. Supply</t>
        </is>
      </c>
      <c r="L64" s="39" t="inlineStr">
        <is>
          <t>📧 ส่ง Email</t>
        </is>
      </c>
    </row>
    <row r="65" ht="14" customHeight="1">
      <c r="A65" s="38" t="n">
        <v>62</v>
      </c>
      <c r="B65" s="39" t="inlineStr">
        <is>
          <t>อริ</t>
        </is>
      </c>
      <c r="C65" s="38" t="inlineStr">
        <is>
          <t>B2B อื่นๆ</t>
        </is>
      </c>
      <c r="D65" s="38" t="n">
        <v>1</v>
      </c>
      <c r="E65" s="77" t="n">
        <v>760864.16</v>
      </c>
      <c r="F65" s="38" t="inlineStr">
        <is>
          <t>0.4%</t>
        </is>
      </c>
      <c r="G65" s="39" t="inlineStr">
        <is>
          <t>LED Streetlight</t>
        </is>
      </c>
      <c r="H65" s="38" t="inlineStr">
        <is>
          <t>2026-04</t>
        </is>
      </c>
      <c r="I65" s="38" t="inlineStr">
        <is>
          <t>PL819</t>
        </is>
      </c>
      <c r="J65" s="38" t="inlineStr">
        <is>
          <t>C - ทั่วไป</t>
        </is>
      </c>
      <c r="K65" s="38" t="inlineStr">
        <is>
          <t>—</t>
        </is>
      </c>
      <c r="L65" s="39" t="inlineStr">
        <is>
          <t>📧 ส่ง Email</t>
        </is>
      </c>
    </row>
    <row r="66" ht="14" customHeight="1">
      <c r="A66" s="38" t="n">
        <v>63</v>
      </c>
      <c r="B66" s="39" t="inlineStr">
        <is>
          <t>เอชาย เทคโนโลยี</t>
        </is>
      </c>
      <c r="C66" s="38" t="inlineStr">
        <is>
          <t>B2B อื่นๆ</t>
        </is>
      </c>
      <c r="D66" s="38" t="n">
        <v>1</v>
      </c>
      <c r="E66" s="77" t="n">
        <v>759710.7</v>
      </c>
      <c r="F66" s="38" t="inlineStr">
        <is>
          <t>0.4%</t>
        </is>
      </c>
      <c r="G66" s="39" t="inlineStr">
        <is>
          <t>LED Streetlight</t>
        </is>
      </c>
      <c r="H66" s="38" t="inlineStr">
        <is>
          <t>2026-06</t>
        </is>
      </c>
      <c r="I66" s="38" t="inlineStr">
        <is>
          <t>PL930</t>
        </is>
      </c>
      <c r="J66" s="38" t="inlineStr">
        <is>
          <t>C - ทั่วไป</t>
        </is>
      </c>
      <c r="K66" s="38" t="inlineStr">
        <is>
          <t>—</t>
        </is>
      </c>
      <c r="L66" s="39" t="inlineStr">
        <is>
          <t>📧 ส่ง Email</t>
        </is>
      </c>
    </row>
    <row r="67" ht="14" customHeight="1">
      <c r="A67" s="38" t="n">
        <v>64</v>
      </c>
      <c r="B67" s="39" t="inlineStr">
        <is>
          <t>วิ-หลี</t>
        </is>
      </c>
      <c r="C67" s="38" t="inlineStr">
        <is>
          <t>B2B อื่นๆ</t>
        </is>
      </c>
      <c r="D67" s="38" t="n">
        <v>1</v>
      </c>
      <c r="E67" s="77" t="n">
        <v>748385.8199999999</v>
      </c>
      <c r="F67" s="38" t="inlineStr">
        <is>
          <t>0.4%</t>
        </is>
      </c>
      <c r="G67" s="39" t="inlineStr">
        <is>
          <t>เสาไฟถนน</t>
        </is>
      </c>
      <c r="H67" s="38" t="inlineStr">
        <is>
          <t>2026-03</t>
        </is>
      </c>
      <c r="I67" s="38" t="inlineStr">
        <is>
          <t>PL777</t>
        </is>
      </c>
      <c r="J67" s="38" t="inlineStr">
        <is>
          <t>C - ทั่วไป</t>
        </is>
      </c>
      <c r="K67" s="38" t="inlineStr">
        <is>
          <t>—</t>
        </is>
      </c>
      <c r="L67" s="39" t="inlineStr">
        <is>
          <t>📧 ส่ง Email</t>
        </is>
      </c>
    </row>
    <row r="68" ht="14" customHeight="1">
      <c r="A68" s="38" t="n">
        <v>65</v>
      </c>
      <c r="B68" s="39" t="inlineStr">
        <is>
          <t>บริษัท เอ็นเทค แมเนจเม้นท์ จำกัด (สำนักงานใหญ่)</t>
        </is>
      </c>
      <c r="C68" s="38" t="inlineStr">
        <is>
          <t>B2G ภาครัฐ</t>
        </is>
      </c>
      <c r="D68" s="38" t="n">
        <v>1</v>
      </c>
      <c r="E68" s="77" t="n">
        <v>695072</v>
      </c>
      <c r="F68" s="38" t="inlineStr">
        <is>
          <t>0.4%</t>
        </is>
      </c>
      <c r="G68" s="39" t="inlineStr">
        <is>
          <t>อื่นๆ</t>
        </is>
      </c>
      <c r="H68" s="38" t="inlineStr">
        <is>
          <t>2026-01</t>
        </is>
      </c>
      <c r="I68" s="38" t="inlineStr">
        <is>
          <t>PL641</t>
        </is>
      </c>
      <c r="J68" s="38" t="inlineStr">
        <is>
          <t>C - ทั่วไป</t>
        </is>
      </c>
      <c r="K68" s="38" t="inlineStr">
        <is>
          <t>—</t>
        </is>
      </c>
      <c r="L68" s="39" t="inlineStr">
        <is>
          <t>📧 ส่ง Email</t>
        </is>
      </c>
    </row>
    <row r="69" ht="14" customHeight="1">
      <c r="A69" s="38" t="n">
        <v>66</v>
      </c>
      <c r="B69" s="39" t="inlineStr">
        <is>
          <t>ไชยวัฒน์</t>
        </is>
      </c>
      <c r="C69" s="38" t="inlineStr">
        <is>
          <t>B2B อื่นๆ</t>
        </is>
      </c>
      <c r="D69" s="38" t="n">
        <v>1</v>
      </c>
      <c r="E69" s="77" t="n">
        <v>686308.7</v>
      </c>
      <c r="F69" s="38" t="inlineStr">
        <is>
          <t>0.4%</t>
        </is>
      </c>
      <c r="G69" s="39" t="inlineStr">
        <is>
          <t>เสาไฟถนน</t>
        </is>
      </c>
      <c r="H69" s="38" t="inlineStr">
        <is>
          <t>2026-03</t>
        </is>
      </c>
      <c r="I69" s="38" t="inlineStr">
        <is>
          <t>PL780</t>
        </is>
      </c>
      <c r="J69" s="38" t="inlineStr">
        <is>
          <t>C - ทั่วไป</t>
        </is>
      </c>
      <c r="K69" s="38" t="inlineStr">
        <is>
          <t>—</t>
        </is>
      </c>
      <c r="L69" s="39" t="inlineStr">
        <is>
          <t>📧 ส่ง Email</t>
        </is>
      </c>
    </row>
    <row r="70" ht="14" customHeight="1">
      <c r="A70" s="38" t="n">
        <v>67</v>
      </c>
      <c r="B70" s="39" t="inlineStr">
        <is>
          <t>วิหลี</t>
        </is>
      </c>
      <c r="C70" s="38" t="inlineStr">
        <is>
          <t>B2B อื่นๆ</t>
        </is>
      </c>
      <c r="D70" s="38" t="n">
        <v>1</v>
      </c>
      <c r="E70" s="77" t="n">
        <v>675969.5</v>
      </c>
      <c r="F70" s="38" t="inlineStr">
        <is>
          <t>0.4%</t>
        </is>
      </c>
      <c r="G70" s="39" t="inlineStr">
        <is>
          <t>เสาไฟถนน</t>
        </is>
      </c>
      <c r="H70" s="38" t="inlineStr">
        <is>
          <t>2026-04</t>
        </is>
      </c>
      <c r="I70" s="38" t="inlineStr">
        <is>
          <t>PL806</t>
        </is>
      </c>
      <c r="J70" s="38" t="inlineStr">
        <is>
          <t>C - ทั่วไป</t>
        </is>
      </c>
      <c r="K70" s="38" t="inlineStr">
        <is>
          <t>—</t>
        </is>
      </c>
      <c r="L70" s="39" t="inlineStr">
        <is>
          <t>📧 ส่ง Email</t>
        </is>
      </c>
    </row>
    <row r="71" ht="14" customHeight="1">
      <c r="A71" s="38" t="n">
        <v>68</v>
      </c>
      <c r="B71" s="39" t="inlineStr">
        <is>
          <t>บมจ.เมืองไทยประกันชีวิต</t>
        </is>
      </c>
      <c r="C71" s="38" t="inlineStr">
        <is>
          <t>B2B บริษัท</t>
        </is>
      </c>
      <c r="D71" s="38" t="n">
        <v>1</v>
      </c>
      <c r="E71" s="77" t="n">
        <v>653340.9300000001</v>
      </c>
      <c r="F71" s="38" t="inlineStr">
        <is>
          <t>0.4%</t>
        </is>
      </c>
      <c r="G71" s="39" t="inlineStr">
        <is>
          <t>High Mast</t>
        </is>
      </c>
      <c r="H71" s="38" t="inlineStr">
        <is>
          <t>2026-06</t>
        </is>
      </c>
      <c r="I71" s="38" t="inlineStr">
        <is>
          <t>PL943</t>
        </is>
      </c>
      <c r="J71" s="38" t="inlineStr">
        <is>
          <t>C - ทั่วไป</t>
        </is>
      </c>
      <c r="K71" s="38" t="inlineStr">
        <is>
          <t>—</t>
        </is>
      </c>
      <c r="L71" s="39" t="inlineStr">
        <is>
          <t>📧 ส่ง Email</t>
        </is>
      </c>
    </row>
    <row r="72" ht="14" customHeight="1">
      <c r="A72" s="38" t="n">
        <v>69</v>
      </c>
      <c r="B72" s="39" t="inlineStr">
        <is>
          <t>อาริยะ กรุ๊ป</t>
        </is>
      </c>
      <c r="C72" s="38" t="inlineStr">
        <is>
          <t>B2B อื่นๆ</t>
        </is>
      </c>
      <c r="D72" s="38" t="n">
        <v>1</v>
      </c>
      <c r="E72" s="77" t="n">
        <v>644134.01</v>
      </c>
      <c r="F72" s="38" t="inlineStr">
        <is>
          <t>0.4%</t>
        </is>
      </c>
      <c r="G72" s="39" t="inlineStr">
        <is>
          <t>High Mast</t>
        </is>
      </c>
      <c r="H72" s="38" t="inlineStr">
        <is>
          <t>2026-02</t>
        </is>
      </c>
      <c r="I72" s="38" t="inlineStr">
        <is>
          <t>PL697</t>
        </is>
      </c>
      <c r="J72" s="38" t="inlineStr">
        <is>
          <t>C - ทั่วไป</t>
        </is>
      </c>
      <c r="K72" s="38" t="inlineStr">
        <is>
          <t>—</t>
        </is>
      </c>
      <c r="L72" s="39" t="inlineStr">
        <is>
          <t>📧 ส่ง Email</t>
        </is>
      </c>
    </row>
    <row r="73" ht="14" customHeight="1">
      <c r="A73" s="38" t="n">
        <v>70</v>
      </c>
      <c r="B73" s="39" t="inlineStr">
        <is>
          <t>แอเรีย เทคโนโลยี</t>
        </is>
      </c>
      <c r="C73" s="38" t="inlineStr">
        <is>
          <t>B2B อื่นๆ</t>
        </is>
      </c>
      <c r="D73" s="38" t="n">
        <v>2</v>
      </c>
      <c r="E73" s="77" t="n">
        <v>631146.9399999999</v>
      </c>
      <c r="F73" s="38" t="inlineStr">
        <is>
          <t>0.3%</t>
        </is>
      </c>
      <c r="G73" s="39" t="inlineStr">
        <is>
          <t>Solar</t>
        </is>
      </c>
      <c r="H73" s="38" t="inlineStr">
        <is>
          <t>2026-01, 2026-03</t>
        </is>
      </c>
      <c r="I73" s="38" t="inlineStr">
        <is>
          <t>PL738</t>
        </is>
      </c>
      <c r="J73" s="38" t="inlineStr">
        <is>
          <t>C - ทั่วไป</t>
        </is>
      </c>
      <c r="K73" s="38" t="inlineStr">
        <is>
          <t>—</t>
        </is>
      </c>
      <c r="L73" s="39" t="inlineStr">
        <is>
          <t>📧 ส่ง Email</t>
        </is>
      </c>
    </row>
    <row r="74" ht="14" customHeight="1">
      <c r="A74" s="38" t="n">
        <v>71</v>
      </c>
      <c r="B74" s="39" t="inlineStr">
        <is>
          <t>จีเนียส กิสโม -Post Top 4  ดวง</t>
        </is>
      </c>
      <c r="C74" s="38" t="inlineStr">
        <is>
          <t>B2B อื่นๆ</t>
        </is>
      </c>
      <c r="D74" s="38" t="n">
        <v>1</v>
      </c>
      <c r="E74" s="77" t="n">
        <v>630470.75</v>
      </c>
      <c r="F74" s="38" t="inlineStr">
        <is>
          <t>0.3%</t>
        </is>
      </c>
      <c r="G74" s="39" t="inlineStr">
        <is>
          <t>เสาไฟถนน</t>
        </is>
      </c>
      <c r="H74" s="38" t="inlineStr">
        <is>
          <t>2026-05</t>
        </is>
      </c>
      <c r="I74" s="38" t="inlineStr">
        <is>
          <t>PL893</t>
        </is>
      </c>
      <c r="J74" s="38" t="inlineStr">
        <is>
          <t>C - ทั่วไป</t>
        </is>
      </c>
      <c r="K74" s="38" t="inlineStr">
        <is>
          <t>—</t>
        </is>
      </c>
      <c r="L74" s="39" t="inlineStr">
        <is>
          <t>📧 ส่ง Email</t>
        </is>
      </c>
    </row>
    <row r="75" ht="14" customHeight="1">
      <c r="A75" s="38" t="n">
        <v>72</v>
      </c>
      <c r="B75" s="39" t="inlineStr">
        <is>
          <t>คุณปรีชา จันทร์ดี</t>
        </is>
      </c>
      <c r="C75" s="38" t="inlineStr">
        <is>
          <t>B2C บุคคล</t>
        </is>
      </c>
      <c r="D75" s="38" t="n">
        <v>1</v>
      </c>
      <c r="E75" s="77" t="n">
        <v>622740</v>
      </c>
      <c r="F75" s="38" t="inlineStr">
        <is>
          <t>0.3%</t>
        </is>
      </c>
      <c r="G75" s="39" t="inlineStr">
        <is>
          <t>เสาไฟถนน</t>
        </is>
      </c>
      <c r="H75" s="38" t="inlineStr">
        <is>
          <t>2026-03</t>
        </is>
      </c>
      <c r="I75" s="38" t="inlineStr">
        <is>
          <t>PL768</t>
        </is>
      </c>
      <c r="J75" s="38" t="inlineStr">
        <is>
          <t>C - ทั่วไป</t>
        </is>
      </c>
      <c r="K75" s="38" t="inlineStr">
        <is>
          <t>—</t>
        </is>
      </c>
      <c r="L75" s="39" t="inlineStr">
        <is>
          <t>📧 ส่ง Email</t>
        </is>
      </c>
    </row>
    <row r="76" ht="14" customHeight="1">
      <c r="A76" s="38" t="n">
        <v>73</v>
      </c>
      <c r="B76" s="39" t="inlineStr">
        <is>
          <t>กรุงเทพเอ็นยิเนียริ่ง</t>
        </is>
      </c>
      <c r="C76" s="38" t="inlineStr">
        <is>
          <t>B2B อื่นๆ</t>
        </is>
      </c>
      <c r="D76" s="38" t="n">
        <v>1</v>
      </c>
      <c r="E76" s="77" t="n">
        <v>620980.92</v>
      </c>
      <c r="F76" s="38" t="inlineStr">
        <is>
          <t>0.3%</t>
        </is>
      </c>
      <c r="G76" s="39" t="inlineStr">
        <is>
          <t>High Mast</t>
        </is>
      </c>
      <c r="H76" s="38" t="inlineStr">
        <is>
          <t>2026-05</t>
        </is>
      </c>
      <c r="I76" s="38" t="inlineStr">
        <is>
          <t>PL860</t>
        </is>
      </c>
      <c r="J76" s="38" t="inlineStr">
        <is>
          <t>C - ทั่วไป</t>
        </is>
      </c>
      <c r="K76" s="38" t="inlineStr">
        <is>
          <t>—</t>
        </is>
      </c>
      <c r="L76" s="39" t="inlineStr">
        <is>
          <t>📧 ส่ง Email</t>
        </is>
      </c>
    </row>
    <row r="77" ht="14" customHeight="1">
      <c r="A77" s="38" t="n">
        <v>74</v>
      </c>
      <c r="B77" s="39" t="inlineStr">
        <is>
          <t>พี สเตป เอ็นจิเนียริ่ง</t>
        </is>
      </c>
      <c r="C77" s="38" t="inlineStr">
        <is>
          <t>B2B อื่นๆ</t>
        </is>
      </c>
      <c r="D77" s="38" t="n">
        <v>1</v>
      </c>
      <c r="E77" s="77" t="n">
        <v>612172.6800000001</v>
      </c>
      <c r="F77" s="38" t="inlineStr">
        <is>
          <t>0.3%</t>
        </is>
      </c>
      <c r="G77" s="39" t="inlineStr">
        <is>
          <t>High Mast</t>
        </is>
      </c>
      <c r="H77" s="38" t="inlineStr">
        <is>
          <t>2026-06</t>
        </is>
      </c>
      <c r="I77" s="38" t="inlineStr">
        <is>
          <t>PL917</t>
        </is>
      </c>
      <c r="J77" s="38" t="inlineStr">
        <is>
          <t>C - ทั่วไป</t>
        </is>
      </c>
      <c r="K77" s="38" t="inlineStr">
        <is>
          <t>—</t>
        </is>
      </c>
      <c r="L77" s="39" t="inlineStr">
        <is>
          <t>📧 ส่ง Email</t>
        </is>
      </c>
    </row>
    <row r="78" ht="14" customHeight="1">
      <c r="A78" s="38" t="n">
        <v>75</v>
      </c>
      <c r="B78" s="39" t="inlineStr">
        <is>
          <t>บริษัท เอส.พี.เอส.ทราฟฟิค ไลน์ จำกัด</t>
        </is>
      </c>
      <c r="C78" s="38" t="inlineStr">
        <is>
          <t>B2B บริษัท</t>
        </is>
      </c>
      <c r="D78" s="38" t="n">
        <v>1</v>
      </c>
      <c r="E78" s="77" t="n">
        <v>611858.1</v>
      </c>
      <c r="F78" s="38" t="inlineStr">
        <is>
          <t>0.3%</t>
        </is>
      </c>
      <c r="G78" s="39" t="inlineStr">
        <is>
          <t>อื่นๆ</t>
        </is>
      </c>
      <c r="H78" s="38" t="inlineStr">
        <is>
          <t>2026-01</t>
        </is>
      </c>
      <c r="I78" s="38" t="inlineStr">
        <is>
          <t>PL638</t>
        </is>
      </c>
      <c r="J78" s="38" t="inlineStr">
        <is>
          <t>C - ทั่วไป</t>
        </is>
      </c>
      <c r="K78" s="38" t="inlineStr">
        <is>
          <t>—</t>
        </is>
      </c>
      <c r="L78" s="39" t="inlineStr">
        <is>
          <t>📧 ส่ง Email</t>
        </is>
      </c>
    </row>
    <row r="79" ht="14" customHeight="1">
      <c r="A79" s="38" t="n">
        <v>76</v>
      </c>
      <c r="B79" s="39" t="inlineStr">
        <is>
          <t>R00  บริษัท เค.บี.เอ็ม . เทคโนโลยีส์ จำกัด -8M</t>
        </is>
      </c>
      <c r="C79" s="38" t="inlineStr">
        <is>
          <t>B2B บริษัท</t>
        </is>
      </c>
      <c r="D79" s="38" t="n">
        <v>1</v>
      </c>
      <c r="E79" s="77" t="n">
        <v>585031.33</v>
      </c>
      <c r="F79" s="38" t="inlineStr">
        <is>
          <t>0.3%</t>
        </is>
      </c>
      <c r="G79" s="39" t="inlineStr">
        <is>
          <t>เสาไฟถนน</t>
        </is>
      </c>
      <c r="H79" s="38" t="inlineStr">
        <is>
          <t>2026-03</t>
        </is>
      </c>
      <c r="I79" s="38" t="inlineStr">
        <is>
          <t>PL770</t>
        </is>
      </c>
      <c r="J79" s="38" t="inlineStr">
        <is>
          <t>C - ทั่วไป</t>
        </is>
      </c>
      <c r="K79" s="38" t="inlineStr">
        <is>
          <t>—</t>
        </is>
      </c>
      <c r="L79" s="39" t="inlineStr">
        <is>
          <t>📧 ส่ง Email</t>
        </is>
      </c>
    </row>
    <row r="80" ht="14" customHeight="1">
      <c r="A80" s="38" t="n">
        <v>77</v>
      </c>
      <c r="B80" s="39" t="inlineStr">
        <is>
          <t>ตั้งใจสร้าง</t>
        </is>
      </c>
      <c r="C80" s="38" t="inlineStr">
        <is>
          <t>B2B อื่นๆ</t>
        </is>
      </c>
      <c r="D80" s="38" t="n">
        <v>1</v>
      </c>
      <c r="E80" s="77" t="n">
        <v>584846.16</v>
      </c>
      <c r="F80" s="38" t="inlineStr">
        <is>
          <t>0.3%</t>
        </is>
      </c>
      <c r="G80" s="39" t="inlineStr">
        <is>
          <t>High Mast</t>
        </is>
      </c>
      <c r="H80" s="38" t="inlineStr">
        <is>
          <t>2026-01</t>
        </is>
      </c>
      <c r="I80" s="38" t="inlineStr">
        <is>
          <t>PL648</t>
        </is>
      </c>
      <c r="J80" s="38" t="inlineStr">
        <is>
          <t>C - ทั่วไป</t>
        </is>
      </c>
      <c r="K80" s="38" t="inlineStr">
        <is>
          <t>—</t>
        </is>
      </c>
      <c r="L80" s="39" t="inlineStr">
        <is>
          <t>📧 ส่ง Email</t>
        </is>
      </c>
    </row>
    <row r="81" ht="14" customHeight="1">
      <c r="A81" s="38" t="n">
        <v>78</v>
      </c>
      <c r="B81" s="39" t="inlineStr">
        <is>
          <t>พรบันดาลโชค</t>
        </is>
      </c>
      <c r="C81" s="38" t="inlineStr">
        <is>
          <t>B2B อื่นๆ</t>
        </is>
      </c>
      <c r="D81" s="38" t="n">
        <v>1</v>
      </c>
      <c r="E81" s="77" t="n">
        <v>584112.14</v>
      </c>
      <c r="F81" s="38" t="inlineStr">
        <is>
          <t>0.3%</t>
        </is>
      </c>
      <c r="G81" s="39" t="inlineStr">
        <is>
          <t>High Mast</t>
        </is>
      </c>
      <c r="H81" s="38" t="inlineStr">
        <is>
          <t>2026-01</t>
        </is>
      </c>
      <c r="I81" s="38" t="inlineStr">
        <is>
          <t>PL633</t>
        </is>
      </c>
      <c r="J81" s="38" t="inlineStr">
        <is>
          <t>C - ทั่วไป</t>
        </is>
      </c>
      <c r="K81" s="38" t="inlineStr">
        <is>
          <t>—</t>
        </is>
      </c>
      <c r="L81" s="39" t="inlineStr">
        <is>
          <t>📧 ส่ง Email</t>
        </is>
      </c>
    </row>
    <row r="82" ht="14" customHeight="1">
      <c r="A82" s="38" t="n">
        <v>79</v>
      </c>
      <c r="B82" s="39" t="inlineStr">
        <is>
          <t>บริษัท อ่าวดุ้ (ประเทศไทย) จำกัด</t>
        </is>
      </c>
      <c r="C82" s="38" t="inlineStr">
        <is>
          <t>B2B บริษัท</t>
        </is>
      </c>
      <c r="D82" s="38" t="n">
        <v>1</v>
      </c>
      <c r="E82" s="77" t="n">
        <v>583150</v>
      </c>
      <c r="F82" s="38" t="inlineStr">
        <is>
          <t>0.3%</t>
        </is>
      </c>
      <c r="G82" s="39" t="inlineStr">
        <is>
          <t>อื่นๆ</t>
        </is>
      </c>
      <c r="H82" s="38" t="inlineStr">
        <is>
          <t>2026-02</t>
        </is>
      </c>
      <c r="I82" s="38" t="inlineStr">
        <is>
          <t>PL694</t>
        </is>
      </c>
      <c r="J82" s="38" t="inlineStr">
        <is>
          <t>C - ทั่วไป</t>
        </is>
      </c>
      <c r="K82" s="38" t="inlineStr">
        <is>
          <t>—</t>
        </is>
      </c>
      <c r="L82" s="39" t="inlineStr">
        <is>
          <t>📧 ส่ง Email</t>
        </is>
      </c>
    </row>
    <row r="83" ht="14" customHeight="1">
      <c r="A83" s="38" t="n">
        <v>80</v>
      </c>
      <c r="B83" s="39" t="inlineStr">
        <is>
          <t>จตุรมาศ</t>
        </is>
      </c>
      <c r="C83" s="38" t="inlineStr">
        <is>
          <t>B2B อื่นๆ</t>
        </is>
      </c>
      <c r="D83" s="38" t="n">
        <v>1</v>
      </c>
      <c r="E83" s="77" t="n">
        <v>582193.21</v>
      </c>
      <c r="F83" s="38" t="inlineStr">
        <is>
          <t>0.3%</t>
        </is>
      </c>
      <c r="G83" s="39" t="inlineStr">
        <is>
          <t>High Mast</t>
        </is>
      </c>
      <c r="H83" s="38" t="inlineStr">
        <is>
          <t>2026-01</t>
        </is>
      </c>
      <c r="I83" s="38" t="inlineStr">
        <is>
          <t>PL656</t>
        </is>
      </c>
      <c r="J83" s="38" t="inlineStr">
        <is>
          <t>C - ทั่วไป</t>
        </is>
      </c>
      <c r="K83" s="38" t="inlineStr">
        <is>
          <t>—</t>
        </is>
      </c>
      <c r="L83" s="39" t="inlineStr">
        <is>
          <t>📧 ส่ง Email</t>
        </is>
      </c>
    </row>
    <row r="84" ht="14" customHeight="1">
      <c r="A84" s="38" t="n">
        <v>81</v>
      </c>
      <c r="B84" s="39" t="inlineStr">
        <is>
          <t>แอ๊ดว้านซ์ R04</t>
        </is>
      </c>
      <c r="C84" s="38" t="inlineStr">
        <is>
          <t>B2B อื่นๆ</t>
        </is>
      </c>
      <c r="D84" s="38" t="n">
        <v>1</v>
      </c>
      <c r="E84" s="77" t="n">
        <v>565743.24</v>
      </c>
      <c r="F84" s="38" t="inlineStr">
        <is>
          <t>0.3%</t>
        </is>
      </c>
      <c r="G84" s="39" t="inlineStr">
        <is>
          <t>High Mast</t>
        </is>
      </c>
      <c r="H84" s="38" t="inlineStr">
        <is>
          <t>2026-03</t>
        </is>
      </c>
      <c r="I84" s="38" t="inlineStr">
        <is>
          <t>PL739</t>
        </is>
      </c>
      <c r="J84" s="38" t="inlineStr">
        <is>
          <t>C - ทั่วไป</t>
        </is>
      </c>
      <c r="K84" s="38" t="inlineStr">
        <is>
          <t>—</t>
        </is>
      </c>
      <c r="L84" s="39" t="inlineStr">
        <is>
          <t>📧 ส่ง Email</t>
        </is>
      </c>
    </row>
    <row r="85" ht="14" customHeight="1">
      <c r="A85" s="38" t="n">
        <v>82</v>
      </c>
      <c r="B85" s="39" t="inlineStr">
        <is>
          <t>ส่องกิจก่อสร้าง  3.2</t>
        </is>
      </c>
      <c r="C85" s="38" t="inlineStr">
        <is>
          <t>B2B อื่นๆ</t>
        </is>
      </c>
      <c r="D85" s="38" t="n">
        <v>1</v>
      </c>
      <c r="E85" s="77" t="n">
        <v>559126.1</v>
      </c>
      <c r="F85" s="38" t="inlineStr">
        <is>
          <t>0.3%</t>
        </is>
      </c>
      <c r="G85" s="39" t="inlineStr">
        <is>
          <t>Guard Rail / การ์ดเรล</t>
        </is>
      </c>
      <c r="H85" s="38" t="inlineStr">
        <is>
          <t>2026-05</t>
        </is>
      </c>
      <c r="I85" s="38" t="inlineStr">
        <is>
          <t>PL881</t>
        </is>
      </c>
      <c r="J85" s="38" t="inlineStr">
        <is>
          <t>C - ทั่วไป</t>
        </is>
      </c>
      <c r="K85" s="38" t="inlineStr">
        <is>
          <t>—</t>
        </is>
      </c>
      <c r="L85" s="39" t="inlineStr">
        <is>
          <t>📧 ส่ง Email</t>
        </is>
      </c>
    </row>
    <row r="86" ht="14" customHeight="1">
      <c r="A86" s="38" t="n">
        <v>83</v>
      </c>
      <c r="B86" s="39" t="inlineStr">
        <is>
          <t>เค บี เอ็ม</t>
        </is>
      </c>
      <c r="C86" s="38" t="inlineStr">
        <is>
          <t>B2B อื่นๆ</t>
        </is>
      </c>
      <c r="D86" s="38" t="n">
        <v>5</v>
      </c>
      <c r="E86" s="77" t="n">
        <v>556214.47</v>
      </c>
      <c r="F86" s="38" t="inlineStr">
        <is>
          <t>0.3%</t>
        </is>
      </c>
      <c r="G86" s="39" t="inlineStr">
        <is>
          <t>High Mast/เสาไฟถนน</t>
        </is>
      </c>
      <c r="H86" s="38" t="inlineStr">
        <is>
          <t>2026-04, 2026-05</t>
        </is>
      </c>
      <c r="I86" s="38" t="inlineStr">
        <is>
          <t>PL891</t>
        </is>
      </c>
      <c r="J86" s="38" t="inlineStr">
        <is>
          <t>C - ทั่วไป</t>
        </is>
      </c>
      <c r="K86" s="38" t="inlineStr">
        <is>
          <t>อปท. Supply</t>
        </is>
      </c>
      <c r="L86" s="39" t="inlineStr">
        <is>
          <t>📧 ส่ง Email</t>
        </is>
      </c>
    </row>
    <row r="87" ht="14" customHeight="1">
      <c r="A87" s="38" t="n">
        <v>84</v>
      </c>
      <c r="B87" s="39" t="inlineStr">
        <is>
          <t>บ.ศุภฤทธิ  เสา9ม.</t>
        </is>
      </c>
      <c r="C87" s="38" t="inlineStr">
        <is>
          <t>B2B อื่นๆ</t>
        </is>
      </c>
      <c r="D87" s="38" t="n">
        <v>1</v>
      </c>
      <c r="E87" s="77" t="n">
        <v>546320.6</v>
      </c>
      <c r="F87" s="38" t="inlineStr">
        <is>
          <t>0.3%</t>
        </is>
      </c>
      <c r="G87" s="39" t="inlineStr">
        <is>
          <t>เสาไฟถนน</t>
        </is>
      </c>
      <c r="H87" s="38" t="inlineStr">
        <is>
          <t>2026-04</t>
        </is>
      </c>
      <c r="I87" s="38" t="inlineStr">
        <is>
          <t>PL832</t>
        </is>
      </c>
      <c r="J87" s="38" t="inlineStr">
        <is>
          <t>C - ทั่วไป</t>
        </is>
      </c>
      <c r="K87" s="38" t="inlineStr">
        <is>
          <t>—</t>
        </is>
      </c>
      <c r="L87" s="39" t="inlineStr">
        <is>
          <t>📧 ส่ง Email</t>
        </is>
      </c>
    </row>
    <row r="88" ht="14" customHeight="1">
      <c r="A88" s="38" t="n">
        <v>85</v>
      </c>
      <c r="B88" s="39" t="inlineStr">
        <is>
          <t>บริษัท โกลว์ พาวเวอร์ เทคโนโลยี จำกัด-EGATJOB2 R2</t>
        </is>
      </c>
      <c r="C88" s="38" t="inlineStr">
        <is>
          <t>B2B บริษัท</t>
        </is>
      </c>
      <c r="D88" s="38" t="n">
        <v>1</v>
      </c>
      <c r="E88" s="77" t="n">
        <v>521571.5</v>
      </c>
      <c r="F88" s="38" t="inlineStr">
        <is>
          <t>0.3%</t>
        </is>
      </c>
      <c r="G88" s="39" t="inlineStr">
        <is>
          <t>อื่นๆ</t>
        </is>
      </c>
      <c r="H88" s="38" t="inlineStr">
        <is>
          <t>2026-01</t>
        </is>
      </c>
      <c r="I88" s="38" t="inlineStr">
        <is>
          <t>PL640</t>
        </is>
      </c>
      <c r="J88" s="38" t="inlineStr">
        <is>
          <t>C - ทั่วไป</t>
        </is>
      </c>
      <c r="K88" s="38" t="inlineStr">
        <is>
          <t>EGAT</t>
        </is>
      </c>
      <c r="L88" s="39" t="inlineStr">
        <is>
          <t>📧 ส่ง Email</t>
        </is>
      </c>
    </row>
    <row r="89" ht="14" customHeight="1">
      <c r="A89" s="38" t="n">
        <v>86</v>
      </c>
      <c r="B89" s="39" t="inlineStr">
        <is>
          <t>พรีไซซ</t>
        </is>
      </c>
      <c r="C89" s="38" t="inlineStr">
        <is>
          <t>B2B อื่นๆ</t>
        </is>
      </c>
      <c r="D89" s="38" t="n">
        <v>1</v>
      </c>
      <c r="E89" s="77" t="n">
        <v>519885.39</v>
      </c>
      <c r="F89" s="38" t="inlineStr">
        <is>
          <t>0.3%</t>
        </is>
      </c>
      <c r="G89" s="39" t="inlineStr">
        <is>
          <t>High Mast</t>
        </is>
      </c>
      <c r="H89" s="38" t="inlineStr">
        <is>
          <t>2026-01</t>
        </is>
      </c>
      <c r="I89" s="38" t="inlineStr">
        <is>
          <t>PL644</t>
        </is>
      </c>
      <c r="J89" s="38" t="inlineStr">
        <is>
          <t>C - ทั่วไป</t>
        </is>
      </c>
      <c r="K89" s="38" t="inlineStr">
        <is>
          <t>—</t>
        </is>
      </c>
      <c r="L89" s="39" t="inlineStr">
        <is>
          <t>📧 ส่ง Email</t>
        </is>
      </c>
    </row>
    <row r="90" ht="14" customHeight="1">
      <c r="A90" s="38" t="n">
        <v>87</v>
      </c>
      <c r="B90" s="39" t="inlineStr">
        <is>
          <t>เทพชูชัย</t>
        </is>
      </c>
      <c r="C90" s="38" t="inlineStr">
        <is>
          <t>B2B อื่นๆ</t>
        </is>
      </c>
      <c r="D90" s="38" t="n">
        <v>1</v>
      </c>
      <c r="E90" s="77" t="n">
        <v>511507.08</v>
      </c>
      <c r="F90" s="38" t="inlineStr">
        <is>
          <t>0.3%</t>
        </is>
      </c>
      <c r="G90" s="39" t="inlineStr">
        <is>
          <t>High Mast</t>
        </is>
      </c>
      <c r="H90" s="38" t="inlineStr">
        <is>
          <t>2026-06</t>
        </is>
      </c>
      <c r="I90" s="38" t="inlineStr">
        <is>
          <t>PL929</t>
        </is>
      </c>
      <c r="J90" s="38" t="inlineStr">
        <is>
          <t>C - ทั่วไป</t>
        </is>
      </c>
      <c r="K90" s="38" t="inlineStr">
        <is>
          <t>—</t>
        </is>
      </c>
      <c r="L90" s="39" t="inlineStr">
        <is>
          <t>📧 ส่ง Email</t>
        </is>
      </c>
    </row>
    <row r="91" ht="14" customHeight="1">
      <c r="A91" s="38" t="n">
        <v>88</v>
      </c>
      <c r="B91" s="39" t="inlineStr">
        <is>
          <t>คุณมานพ  รัตนภาค</t>
        </is>
      </c>
      <c r="C91" s="38" t="inlineStr">
        <is>
          <t>B2C บุคคล</t>
        </is>
      </c>
      <c r="D91" s="38" t="n">
        <v>1</v>
      </c>
      <c r="E91" s="77" t="n">
        <v>510206.82</v>
      </c>
      <c r="F91" s="38" t="inlineStr">
        <is>
          <t>0.3%</t>
        </is>
      </c>
      <c r="G91" s="39" t="inlineStr">
        <is>
          <t>อื่นๆ</t>
        </is>
      </c>
      <c r="H91" s="38" t="inlineStr">
        <is>
          <t>2026-01</t>
        </is>
      </c>
      <c r="I91" s="38" t="inlineStr">
        <is>
          <t>PL608</t>
        </is>
      </c>
      <c r="J91" s="38" t="inlineStr">
        <is>
          <t>C - ทั่วไป</t>
        </is>
      </c>
      <c r="K91" s="38" t="inlineStr">
        <is>
          <t>—</t>
        </is>
      </c>
      <c r="L91" s="39" t="inlineStr">
        <is>
          <t>📧 ส่ง Email</t>
        </is>
      </c>
    </row>
    <row r="92" ht="14" customHeight="1">
      <c r="A92" s="38" t="n">
        <v>89</v>
      </c>
      <c r="B92" s="39" t="inlineStr">
        <is>
          <t>คุณเพชร</t>
        </is>
      </c>
      <c r="C92" s="38" t="inlineStr">
        <is>
          <t>B2C บุคคล</t>
        </is>
      </c>
      <c r="D92" s="38" t="n">
        <v>1</v>
      </c>
      <c r="E92" s="77" t="n">
        <v>506180.19</v>
      </c>
      <c r="F92" s="38" t="inlineStr">
        <is>
          <t>0.3%</t>
        </is>
      </c>
      <c r="G92" s="39" t="inlineStr">
        <is>
          <t>High Mast</t>
        </is>
      </c>
      <c r="H92" s="38" t="inlineStr">
        <is>
          <t>2026-03</t>
        </is>
      </c>
      <c r="I92" s="38" t="inlineStr">
        <is>
          <t>PL747</t>
        </is>
      </c>
      <c r="J92" s="38" t="inlineStr">
        <is>
          <t>C - ทั่วไป</t>
        </is>
      </c>
      <c r="K92" s="38" t="inlineStr">
        <is>
          <t>—</t>
        </is>
      </c>
      <c r="L92" s="39" t="inlineStr">
        <is>
          <t>📧 ส่ง Email</t>
        </is>
      </c>
    </row>
    <row r="93" ht="14" customHeight="1">
      <c r="A93" s="38" t="n">
        <v>90</v>
      </c>
      <c r="B93" s="39" t="inlineStr">
        <is>
          <t>ไทยเกอร์</t>
        </is>
      </c>
      <c r="C93" s="38" t="inlineStr">
        <is>
          <t>B2B อื่นๆ</t>
        </is>
      </c>
      <c r="D93" s="38" t="n">
        <v>1</v>
      </c>
      <c r="E93" s="77" t="n">
        <v>503695.01</v>
      </c>
      <c r="F93" s="38" t="inlineStr">
        <is>
          <t>0.3%</t>
        </is>
      </c>
      <c r="G93" s="39" t="inlineStr">
        <is>
          <t>เสาไฟถนน</t>
        </is>
      </c>
      <c r="H93" s="38" t="inlineStr">
        <is>
          <t>2026-05</t>
        </is>
      </c>
      <c r="I93" s="38" t="inlineStr">
        <is>
          <t>PL895</t>
        </is>
      </c>
      <c r="J93" s="38" t="inlineStr">
        <is>
          <t>C - ทั่วไป</t>
        </is>
      </c>
      <c r="K93" s="38" t="inlineStr">
        <is>
          <t>—</t>
        </is>
      </c>
      <c r="L93" s="39" t="inlineStr">
        <is>
          <t>📧 ส่ง Email</t>
        </is>
      </c>
    </row>
    <row r="94" ht="14" customHeight="1">
      <c r="A94" s="38" t="n">
        <v>91</v>
      </c>
      <c r="B94" s="39" t="inlineStr">
        <is>
          <t>T.K Electric เสา9 เมตร</t>
        </is>
      </c>
      <c r="C94" s="38" t="inlineStr">
        <is>
          <t>B2B อื่นๆ</t>
        </is>
      </c>
      <c r="D94" s="38" t="n">
        <v>1</v>
      </c>
      <c r="E94" s="77" t="n">
        <v>495493.46</v>
      </c>
      <c r="F94" s="38" t="inlineStr">
        <is>
          <t>0.3%</t>
        </is>
      </c>
      <c r="G94" s="39" t="inlineStr">
        <is>
          <t>เสาไฟถนน</t>
        </is>
      </c>
      <c r="H94" s="38" t="inlineStr">
        <is>
          <t>2026-04</t>
        </is>
      </c>
      <c r="I94" s="38" t="inlineStr">
        <is>
          <t>PL800</t>
        </is>
      </c>
      <c r="J94" s="38" t="inlineStr">
        <is>
          <t>C - ทั่วไป</t>
        </is>
      </c>
      <c r="K94" s="38" t="inlineStr">
        <is>
          <t>—</t>
        </is>
      </c>
      <c r="L94" s="39" t="inlineStr">
        <is>
          <t>📧 ส่ง Email</t>
        </is>
      </c>
    </row>
    <row r="95" ht="14" customHeight="1">
      <c r="A95" s="38" t="n">
        <v>92</v>
      </c>
      <c r="B95" s="39" t="inlineStr">
        <is>
          <t>บริษัท เอ็ม เอ็น พี เสิร์ฟ จำกัด</t>
        </is>
      </c>
      <c r="C95" s="38" t="inlineStr">
        <is>
          <t>B2B บริษัท</t>
        </is>
      </c>
      <c r="D95" s="38" t="n">
        <v>1</v>
      </c>
      <c r="E95" s="77" t="n">
        <v>492200</v>
      </c>
      <c r="F95" s="38" t="inlineStr">
        <is>
          <t>0.3%</t>
        </is>
      </c>
      <c r="G95" s="39" t="inlineStr">
        <is>
          <t>เสาไฟถนน</t>
        </is>
      </c>
      <c r="H95" s="38" t="inlineStr">
        <is>
          <t>2026-01</t>
        </is>
      </c>
      <c r="I95" s="38" t="inlineStr">
        <is>
          <t>PL657</t>
        </is>
      </c>
      <c r="J95" s="38" t="inlineStr">
        <is>
          <t>C - ทั่วไป</t>
        </is>
      </c>
      <c r="K95" s="38" t="inlineStr">
        <is>
          <t>—</t>
        </is>
      </c>
      <c r="L95" s="39" t="inlineStr">
        <is>
          <t>📧 ส่ง Email</t>
        </is>
      </c>
    </row>
    <row r="96" ht="14" customHeight="1">
      <c r="A96" s="38" t="n">
        <v>93</v>
      </c>
      <c r="B96" s="39" t="inlineStr">
        <is>
          <t>บ.ศุภฤทธิ</t>
        </is>
      </c>
      <c r="C96" s="38" t="inlineStr">
        <is>
          <t>B2B อื่นๆ</t>
        </is>
      </c>
      <c r="D96" s="38" t="n">
        <v>1</v>
      </c>
      <c r="E96" s="77" t="n">
        <v>486969.84</v>
      </c>
      <c r="F96" s="38" t="inlineStr">
        <is>
          <t>0.3%</t>
        </is>
      </c>
      <c r="G96" s="39" t="inlineStr">
        <is>
          <t>เสาไฟถนน</t>
        </is>
      </c>
      <c r="H96" s="38" t="inlineStr">
        <is>
          <t>2026-06</t>
        </is>
      </c>
      <c r="I96" s="38" t="inlineStr">
        <is>
          <t>PL927</t>
        </is>
      </c>
      <c r="J96" s="38" t="inlineStr">
        <is>
          <t>C - ทั่วไป</t>
        </is>
      </c>
      <c r="K96" s="38" t="inlineStr">
        <is>
          <t>—</t>
        </is>
      </c>
      <c r="L96" s="39" t="inlineStr">
        <is>
          <t>📧 ส่ง Email</t>
        </is>
      </c>
    </row>
    <row r="97" ht="14" customHeight="1">
      <c r="A97" s="38" t="n">
        <v>94</v>
      </c>
      <c r="B97" s="39" t="inlineStr">
        <is>
          <t>แซทคอมส์</t>
        </is>
      </c>
      <c r="C97" s="38" t="inlineStr">
        <is>
          <t>B2B อื่นๆ</t>
        </is>
      </c>
      <c r="D97" s="38" t="n">
        <v>1</v>
      </c>
      <c r="E97" s="77" t="n">
        <v>484872.64</v>
      </c>
      <c r="F97" s="38" t="inlineStr">
        <is>
          <t>0.3%</t>
        </is>
      </c>
      <c r="G97" s="39" t="inlineStr">
        <is>
          <t>อื่นๆ</t>
        </is>
      </c>
      <c r="H97" s="38" t="inlineStr">
        <is>
          <t>2026-02</t>
        </is>
      </c>
      <c r="I97" s="38" t="inlineStr">
        <is>
          <t>PL713</t>
        </is>
      </c>
      <c r="J97" s="38" t="inlineStr">
        <is>
          <t>C - ทั่วไป</t>
        </is>
      </c>
      <c r="K97" s="38" t="inlineStr">
        <is>
          <t>—</t>
        </is>
      </c>
      <c r="L97" s="39" t="inlineStr">
        <is>
          <t>📧 ส่ง Email</t>
        </is>
      </c>
    </row>
    <row r="98" ht="14" customHeight="1">
      <c r="A98" s="38" t="n">
        <v>95</v>
      </c>
      <c r="B98" s="39" t="inlineStr">
        <is>
          <t>ท็อปเบสท์ แมนูแฟคเจอริ่ง</t>
        </is>
      </c>
      <c r="C98" s="38" t="inlineStr">
        <is>
          <t>B2B อื่นๆ</t>
        </is>
      </c>
      <c r="D98" s="38" t="n">
        <v>1</v>
      </c>
      <c r="E98" s="77" t="n">
        <v>475157.36</v>
      </c>
      <c r="F98" s="38" t="inlineStr">
        <is>
          <t>0.3%</t>
        </is>
      </c>
      <c r="G98" s="39" t="inlineStr">
        <is>
          <t>เสาไฟถนน</t>
        </is>
      </c>
      <c r="H98" s="38" t="inlineStr">
        <is>
          <t>2026-01</t>
        </is>
      </c>
      <c r="I98" s="38" t="inlineStr">
        <is>
          <t>PL636</t>
        </is>
      </c>
      <c r="J98" s="38" t="inlineStr">
        <is>
          <t>C - ทั่วไป</t>
        </is>
      </c>
      <c r="K98" s="38" t="inlineStr">
        <is>
          <t>—</t>
        </is>
      </c>
      <c r="L98" s="39" t="inlineStr">
        <is>
          <t>📧 ส่ง Email</t>
        </is>
      </c>
    </row>
    <row r="99" ht="14" customHeight="1">
      <c r="A99" s="38" t="n">
        <v>96</v>
      </c>
      <c r="B99" s="39" t="inlineStr">
        <is>
          <t>เทอร์ม เอ็นจิเนียริ่ง</t>
        </is>
      </c>
      <c r="C99" s="38" t="inlineStr">
        <is>
          <t>B2B อื่นๆ</t>
        </is>
      </c>
      <c r="D99" s="38" t="n">
        <v>1</v>
      </c>
      <c r="E99" s="77" t="n">
        <v>472079.72</v>
      </c>
      <c r="F99" s="38" t="inlineStr">
        <is>
          <t>0.3%</t>
        </is>
      </c>
      <c r="G99" s="39" t="inlineStr">
        <is>
          <t>เสาไฟถนน</t>
        </is>
      </c>
      <c r="H99" s="38" t="inlineStr">
        <is>
          <t>2026-02</t>
        </is>
      </c>
      <c r="I99" s="38" t="inlineStr">
        <is>
          <t>PL685</t>
        </is>
      </c>
      <c r="J99" s="38" t="inlineStr">
        <is>
          <t>C - ทั่วไป</t>
        </is>
      </c>
      <c r="K99" s="38" t="inlineStr">
        <is>
          <t>—</t>
        </is>
      </c>
      <c r="L99" s="39" t="inlineStr">
        <is>
          <t>📧 ส่ง Email</t>
        </is>
      </c>
    </row>
    <row r="100" ht="14" customHeight="1">
      <c r="A100" s="38" t="n">
        <v>97</v>
      </c>
      <c r="B100" s="39" t="inlineStr">
        <is>
          <t>เดลต้า พลัส เอ็นจิเนียริ่ง</t>
        </is>
      </c>
      <c r="C100" s="38" t="inlineStr">
        <is>
          <t>B2B อื่นๆ</t>
        </is>
      </c>
      <c r="D100" s="38" t="n">
        <v>1</v>
      </c>
      <c r="E100" s="77" t="n">
        <v>471014</v>
      </c>
      <c r="F100" s="38" t="inlineStr">
        <is>
          <t>0.3%</t>
        </is>
      </c>
      <c r="G100" s="39" t="inlineStr">
        <is>
          <t>High Mast</t>
        </is>
      </c>
      <c r="H100" s="38" t="inlineStr">
        <is>
          <t>2026-06</t>
        </is>
      </c>
      <c r="I100" s="38" t="inlineStr">
        <is>
          <t>PL923</t>
        </is>
      </c>
      <c r="J100" s="38" t="inlineStr">
        <is>
          <t>C - ทั่วไป</t>
        </is>
      </c>
      <c r="K100" s="38" t="inlineStr">
        <is>
          <t>DOA</t>
        </is>
      </c>
      <c r="L100" s="39" t="inlineStr">
        <is>
          <t>📧 ส่ง Email</t>
        </is>
      </c>
    </row>
    <row r="101" ht="14" customHeight="1">
      <c r="A101" s="38" t="n">
        <v>98</v>
      </c>
      <c r="B101" s="39" t="inlineStr">
        <is>
          <t>บ.นิวสตาร์</t>
        </is>
      </c>
      <c r="C101" s="38" t="inlineStr">
        <is>
          <t>B2B อื่นๆ</t>
        </is>
      </c>
      <c r="D101" s="38" t="n">
        <v>1</v>
      </c>
      <c r="E101" s="77" t="n">
        <v>464949.24</v>
      </c>
      <c r="F101" s="38" t="inlineStr">
        <is>
          <t>0.3%</t>
        </is>
      </c>
      <c r="G101" s="39" t="inlineStr">
        <is>
          <t>High Mast</t>
        </is>
      </c>
      <c r="H101" s="38" t="inlineStr">
        <is>
          <t>2026-05</t>
        </is>
      </c>
      <c r="I101" s="38" t="inlineStr">
        <is>
          <t>PL855</t>
        </is>
      </c>
      <c r="J101" s="38" t="inlineStr">
        <is>
          <t>C - ทั่วไป</t>
        </is>
      </c>
      <c r="K101" s="38" t="inlineStr">
        <is>
          <t>—</t>
        </is>
      </c>
      <c r="L101" s="39" t="inlineStr">
        <is>
          <t>📧 ส่ง Email</t>
        </is>
      </c>
    </row>
    <row r="102" ht="14" customHeight="1">
      <c r="A102" s="38" t="n">
        <v>99</v>
      </c>
      <c r="B102" s="39" t="inlineStr">
        <is>
          <t>บีเอ็นพี</t>
        </is>
      </c>
      <c r="C102" s="38" t="inlineStr">
        <is>
          <t>B2B อื่นๆ</t>
        </is>
      </c>
      <c r="D102" s="38" t="n">
        <v>2</v>
      </c>
      <c r="E102" s="77" t="n">
        <v>436742.76</v>
      </c>
      <c r="F102" s="38" t="inlineStr">
        <is>
          <t>0.2%</t>
        </is>
      </c>
      <c r="G102" s="39" t="inlineStr">
        <is>
          <t>เสาไฟถนน/Solar</t>
        </is>
      </c>
      <c r="H102" s="38" t="inlineStr">
        <is>
          <t>2026-03</t>
        </is>
      </c>
      <c r="I102" s="38" t="inlineStr">
        <is>
          <t>PL762</t>
        </is>
      </c>
      <c r="J102" s="38" t="inlineStr">
        <is>
          <t>C - ทั่วไป</t>
        </is>
      </c>
      <c r="K102" s="38" t="inlineStr">
        <is>
          <t>—</t>
        </is>
      </c>
      <c r="L102" s="39" t="inlineStr">
        <is>
          <t>📧 ส่ง Email</t>
        </is>
      </c>
    </row>
    <row r="103" ht="14" customHeight="1">
      <c r="A103" s="38" t="n">
        <v>100</v>
      </c>
      <c r="B103" s="39" t="inlineStr">
        <is>
          <t>บริษัท โกลว์ พาวเวอร์ เทคโนโลยี จำกัด-EGATJOB1 R01</t>
        </is>
      </c>
      <c r="C103" s="38" t="inlineStr">
        <is>
          <t>B2B บริษัท</t>
        </is>
      </c>
      <c r="D103" s="38" t="n">
        <v>1</v>
      </c>
      <c r="E103" s="77" t="n">
        <v>433510.5</v>
      </c>
      <c r="F103" s="38" t="inlineStr">
        <is>
          <t>0.2%</t>
        </is>
      </c>
      <c r="G103" s="39" t="inlineStr">
        <is>
          <t>เสาไฟถนน</t>
        </is>
      </c>
      <c r="H103" s="38" t="inlineStr">
        <is>
          <t>2026-01</t>
        </is>
      </c>
      <c r="I103" s="38" t="inlineStr">
        <is>
          <t>PL639</t>
        </is>
      </c>
      <c r="J103" s="38" t="inlineStr">
        <is>
          <t>C - ทั่วไป</t>
        </is>
      </c>
      <c r="K103" s="38" t="inlineStr">
        <is>
          <t>EGAT</t>
        </is>
      </c>
      <c r="L103" s="39" t="inlineStr">
        <is>
          <t>📧 ส่ง Email</t>
        </is>
      </c>
    </row>
    <row r="104" ht="14" customHeight="1">
      <c r="A104" s="38" t="n">
        <v>101</v>
      </c>
      <c r="B104" s="39" t="inlineStr">
        <is>
          <t>ไอริส โอยามะ  R01</t>
        </is>
      </c>
      <c r="C104" s="38" t="inlineStr">
        <is>
          <t>B2B อื่นๆ</t>
        </is>
      </c>
      <c r="D104" s="38" t="n">
        <v>1</v>
      </c>
      <c r="E104" s="77" t="n">
        <v>430932.66</v>
      </c>
      <c r="F104" s="38" t="inlineStr">
        <is>
          <t>0.2%</t>
        </is>
      </c>
      <c r="G104" s="39" t="inlineStr">
        <is>
          <t>High Mast</t>
        </is>
      </c>
      <c r="H104" s="38" t="inlineStr">
        <is>
          <t>2026-05</t>
        </is>
      </c>
      <c r="I104" s="38" t="inlineStr">
        <is>
          <t>PL863</t>
        </is>
      </c>
      <c r="J104" s="38" t="inlineStr">
        <is>
          <t>C - ทั่วไป</t>
        </is>
      </c>
      <c r="K104" s="38" t="inlineStr">
        <is>
          <t>—</t>
        </is>
      </c>
      <c r="L104" s="39" t="inlineStr">
        <is>
          <t>📧 ส่ง Email</t>
        </is>
      </c>
    </row>
    <row r="105" ht="14" customHeight="1">
      <c r="A105" s="38" t="n">
        <v>102</v>
      </c>
      <c r="B105" s="39" t="inlineStr">
        <is>
          <t>ช รุ่งแสง</t>
        </is>
      </c>
      <c r="C105" s="38" t="inlineStr">
        <is>
          <t>B2B อื่นๆ</t>
        </is>
      </c>
      <c r="D105" s="38" t="n">
        <v>1</v>
      </c>
      <c r="E105" s="77" t="n">
        <v>430487.75</v>
      </c>
      <c r="F105" s="38" t="inlineStr">
        <is>
          <t>0.2%</t>
        </is>
      </c>
      <c r="G105" s="39" t="inlineStr">
        <is>
          <t>เสาไฟถนน</t>
        </is>
      </c>
      <c r="H105" s="38" t="inlineStr">
        <is>
          <t>2026-04</t>
        </is>
      </c>
      <c r="I105" s="38" t="inlineStr">
        <is>
          <t>PL825</t>
        </is>
      </c>
      <c r="J105" s="38" t="inlineStr">
        <is>
          <t>C - ทั่วไป</t>
        </is>
      </c>
      <c r="K105" s="38" t="inlineStr">
        <is>
          <t>—</t>
        </is>
      </c>
      <c r="L105" s="39" t="inlineStr">
        <is>
          <t>📧 ส่ง Email</t>
        </is>
      </c>
    </row>
    <row r="106" ht="14" customHeight="1">
      <c r="A106" s="38" t="n">
        <v>103</v>
      </c>
      <c r="B106" s="39" t="inlineStr">
        <is>
          <t>คุณทยุตกรณ์</t>
        </is>
      </c>
      <c r="C106" s="38" t="inlineStr">
        <is>
          <t>B2C บุคคล</t>
        </is>
      </c>
      <c r="D106" s="38" t="n">
        <v>1</v>
      </c>
      <c r="E106" s="77" t="n">
        <v>427726.08</v>
      </c>
      <c r="F106" s="38" t="inlineStr">
        <is>
          <t>0.2%</t>
        </is>
      </c>
      <c r="G106" s="39" t="inlineStr">
        <is>
          <t>High Mast</t>
        </is>
      </c>
      <c r="H106" s="38" t="inlineStr">
        <is>
          <t>2026-04</t>
        </is>
      </c>
      <c r="I106" s="38" t="inlineStr">
        <is>
          <t>PL839</t>
        </is>
      </c>
      <c r="J106" s="38" t="inlineStr">
        <is>
          <t>C - ทั่วไป</t>
        </is>
      </c>
      <c r="K106" s="38" t="inlineStr">
        <is>
          <t>—</t>
        </is>
      </c>
      <c r="L106" s="39" t="inlineStr">
        <is>
          <t>📧 ส่ง Email</t>
        </is>
      </c>
    </row>
    <row r="107" ht="14" customHeight="1">
      <c r="A107" s="38" t="n">
        <v>104</v>
      </c>
      <c r="B107" s="39" t="inlineStr">
        <is>
          <t>เบสท์แพ็ค คอนกรีต  เสา9 เมตร</t>
        </is>
      </c>
      <c r="C107" s="38" t="inlineStr">
        <is>
          <t>B2B อื่นๆ</t>
        </is>
      </c>
      <c r="D107" s="38" t="n">
        <v>1</v>
      </c>
      <c r="E107" s="77" t="n">
        <v>424617.46</v>
      </c>
      <c r="F107" s="38" t="inlineStr">
        <is>
          <t>0.2%</t>
        </is>
      </c>
      <c r="G107" s="39" t="inlineStr">
        <is>
          <t>เสาไฟถนน</t>
        </is>
      </c>
      <c r="H107" s="38" t="inlineStr">
        <is>
          <t>2026-04</t>
        </is>
      </c>
      <c r="I107" s="38" t="inlineStr">
        <is>
          <t>PL805</t>
        </is>
      </c>
      <c r="J107" s="38" t="inlineStr">
        <is>
          <t>C - ทั่วไป</t>
        </is>
      </c>
      <c r="K107" s="38" t="inlineStr">
        <is>
          <t>—</t>
        </is>
      </c>
      <c r="L107" s="39" t="inlineStr">
        <is>
          <t>📧 ส่ง Email</t>
        </is>
      </c>
    </row>
    <row r="108" ht="14" customHeight="1">
      <c r="A108" s="38" t="n">
        <v>105</v>
      </c>
      <c r="B108" s="39" t="inlineStr">
        <is>
          <t>TK Electric -Split Type</t>
        </is>
      </c>
      <c r="C108" s="38" t="inlineStr">
        <is>
          <t>B2B อื่นๆ</t>
        </is>
      </c>
      <c r="D108" s="38" t="n">
        <v>1</v>
      </c>
      <c r="E108" s="77" t="n">
        <v>408954</v>
      </c>
      <c r="F108" s="38" t="inlineStr">
        <is>
          <t>0.2%</t>
        </is>
      </c>
      <c r="G108" s="39" t="inlineStr">
        <is>
          <t>อื่นๆ</t>
        </is>
      </c>
      <c r="H108" s="38" t="inlineStr">
        <is>
          <t>2026-02</t>
        </is>
      </c>
      <c r="I108" s="38" t="inlineStr">
        <is>
          <t>PL696</t>
        </is>
      </c>
      <c r="J108" s="38" t="inlineStr">
        <is>
          <t>C - ทั่วไป</t>
        </is>
      </c>
      <c r="K108" s="38" t="inlineStr">
        <is>
          <t>—</t>
        </is>
      </c>
      <c r="L108" s="39" t="inlineStr">
        <is>
          <t>📧 ส่ง Email</t>
        </is>
      </c>
    </row>
    <row r="109" ht="14" customHeight="1">
      <c r="A109" s="38" t="n">
        <v>106</v>
      </c>
      <c r="B109" s="39" t="inlineStr">
        <is>
          <t>ประดิษฐ์</t>
        </is>
      </c>
      <c r="C109" s="38" t="inlineStr">
        <is>
          <t>B2B อื่นๆ</t>
        </is>
      </c>
      <c r="D109" s="38" t="n">
        <v>2</v>
      </c>
      <c r="E109" s="77" t="n">
        <v>407527.91</v>
      </c>
      <c r="F109" s="38" t="inlineStr">
        <is>
          <t>0.2%</t>
        </is>
      </c>
      <c r="G109" s="39" t="inlineStr">
        <is>
          <t>อื่นๆ</t>
        </is>
      </c>
      <c r="H109" s="38" t="inlineStr">
        <is>
          <t>2026-02, 2026-03</t>
        </is>
      </c>
      <c r="I109" s="38" t="inlineStr">
        <is>
          <t>PL742</t>
        </is>
      </c>
      <c r="J109" s="38" t="inlineStr">
        <is>
          <t>C - ทั่วไป</t>
        </is>
      </c>
      <c r="K109" s="38" t="inlineStr">
        <is>
          <t>—</t>
        </is>
      </c>
      <c r="L109" s="39" t="inlineStr">
        <is>
          <t>📧 ส่ง Email</t>
        </is>
      </c>
    </row>
    <row r="110" ht="14" customHeight="1">
      <c r="A110" s="38" t="n">
        <v>107</v>
      </c>
      <c r="B110" s="39" t="inlineStr">
        <is>
          <t>บ.  เด็คก้า High mast 15 M 6 โค</t>
        </is>
      </c>
      <c r="C110" s="38" t="inlineStr">
        <is>
          <t>B2B อื่นๆ</t>
        </is>
      </c>
      <c r="D110" s="38" t="n">
        <v>1</v>
      </c>
      <c r="E110" s="77" t="n">
        <v>384207.04</v>
      </c>
      <c r="F110" s="38" t="inlineStr">
        <is>
          <t>0.2%</t>
        </is>
      </c>
      <c r="G110" s="39" t="inlineStr">
        <is>
          <t>High Mast</t>
        </is>
      </c>
      <c r="H110" s="38" t="inlineStr">
        <is>
          <t>2026-04</t>
        </is>
      </c>
      <c r="I110" s="38" t="inlineStr">
        <is>
          <t>PL803</t>
        </is>
      </c>
      <c r="J110" s="38" t="inlineStr">
        <is>
          <t>C - ทั่วไป</t>
        </is>
      </c>
      <c r="K110" s="38" t="inlineStr">
        <is>
          <t>—</t>
        </is>
      </c>
      <c r="L110" s="39" t="inlineStr">
        <is>
          <t>📧 ส่ง Email</t>
        </is>
      </c>
    </row>
    <row r="111" ht="14" customHeight="1">
      <c r="A111" s="38" t="n">
        <v>108</v>
      </c>
      <c r="B111" s="39" t="inlineStr">
        <is>
          <t>บลูไลน์ จี.โอ.ซีสเต็ม</t>
        </is>
      </c>
      <c r="C111" s="38" t="inlineStr">
        <is>
          <t>B2B อื่นๆ</t>
        </is>
      </c>
      <c r="D111" s="38" t="n">
        <v>1</v>
      </c>
      <c r="E111" s="77" t="n">
        <v>379855.35</v>
      </c>
      <c r="F111" s="38" t="inlineStr">
        <is>
          <t>0.2%</t>
        </is>
      </c>
      <c r="G111" s="39" t="inlineStr">
        <is>
          <t>เสาไฟถนน</t>
        </is>
      </c>
      <c r="H111" s="38" t="inlineStr">
        <is>
          <t>2026-03</t>
        </is>
      </c>
      <c r="I111" s="38" t="inlineStr">
        <is>
          <t>PL744</t>
        </is>
      </c>
      <c r="J111" s="38" t="inlineStr">
        <is>
          <t>C - ทั่วไป</t>
        </is>
      </c>
      <c r="K111" s="38" t="inlineStr">
        <is>
          <t>—</t>
        </is>
      </c>
      <c r="L111" s="39" t="inlineStr">
        <is>
          <t>📧 ส่ง Email</t>
        </is>
      </c>
    </row>
    <row r="112" ht="14" customHeight="1">
      <c r="A112" s="38" t="n">
        <v>109</v>
      </c>
      <c r="B112" s="39" t="inlineStr">
        <is>
          <t>อินเตอร์ เอ็กซ์เพิร์ท -สนามฟุตบอล 7 คน</t>
        </is>
      </c>
      <c r="C112" s="38" t="inlineStr">
        <is>
          <t>B2B อื่นๆ</t>
        </is>
      </c>
      <c r="D112" s="38" t="n">
        <v>1</v>
      </c>
      <c r="E112" s="77" t="n">
        <v>370402.54</v>
      </c>
      <c r="F112" s="38" t="inlineStr">
        <is>
          <t>0.2%</t>
        </is>
      </c>
      <c r="G112" s="39" t="inlineStr">
        <is>
          <t>เสาไฟถนน</t>
        </is>
      </c>
      <c r="H112" s="38" t="inlineStr">
        <is>
          <t>2026-03</t>
        </is>
      </c>
      <c r="I112" s="38" t="inlineStr">
        <is>
          <t>PL756</t>
        </is>
      </c>
      <c r="J112" s="38" t="inlineStr">
        <is>
          <t>C - ทั่วไป</t>
        </is>
      </c>
      <c r="K112" s="38" t="inlineStr">
        <is>
          <t>—</t>
        </is>
      </c>
      <c r="L112" s="39" t="inlineStr">
        <is>
          <t>📧 ส่ง Email</t>
        </is>
      </c>
    </row>
    <row r="113" ht="14" customHeight="1">
      <c r="A113" s="38" t="n">
        <v>110</v>
      </c>
      <c r="B113" s="39" t="inlineStr">
        <is>
          <t>เค บี เอ็ม  เสา HM 30ม.</t>
        </is>
      </c>
      <c r="C113" s="38" t="inlineStr">
        <is>
          <t>B2B อื่นๆ</t>
        </is>
      </c>
      <c r="D113" s="38" t="n">
        <v>1</v>
      </c>
      <c r="E113" s="77" t="n">
        <v>366171.12</v>
      </c>
      <c r="F113" s="38" t="inlineStr">
        <is>
          <t>0.2%</t>
        </is>
      </c>
      <c r="G113" s="39" t="inlineStr">
        <is>
          <t>High Mast</t>
        </is>
      </c>
      <c r="H113" s="38" t="inlineStr">
        <is>
          <t>2026-05</t>
        </is>
      </c>
      <c r="I113" s="38" t="inlineStr">
        <is>
          <t>PL856</t>
        </is>
      </c>
      <c r="J113" s="38" t="inlineStr">
        <is>
          <t>C - ทั่วไป</t>
        </is>
      </c>
      <c r="K113" s="38" t="inlineStr">
        <is>
          <t>อปท. Supply</t>
        </is>
      </c>
      <c r="L113" s="39" t="inlineStr">
        <is>
          <t>📧 ส่ง Email</t>
        </is>
      </c>
    </row>
    <row r="114" ht="14" customHeight="1">
      <c r="A114" s="38" t="n">
        <v>111</v>
      </c>
      <c r="B114" s="39" t="inlineStr">
        <is>
          <t>ณญาริน 6M1B</t>
        </is>
      </c>
      <c r="C114" s="38" t="inlineStr">
        <is>
          <t>B2B อื่นๆ</t>
        </is>
      </c>
      <c r="D114" s="38" t="n">
        <v>1</v>
      </c>
      <c r="E114" s="77" t="n">
        <v>364442</v>
      </c>
      <c r="F114" s="38" t="inlineStr">
        <is>
          <t>0.2%</t>
        </is>
      </c>
      <c r="G114" s="39" t="inlineStr">
        <is>
          <t>เสาไฟถนน</t>
        </is>
      </c>
      <c r="H114" s="38" t="inlineStr">
        <is>
          <t>2026-05</t>
        </is>
      </c>
      <c r="I114" s="38" t="inlineStr">
        <is>
          <t>PL892</t>
        </is>
      </c>
      <c r="J114" s="38" t="inlineStr">
        <is>
          <t>C - ทั่วไป</t>
        </is>
      </c>
      <c r="K114" s="38" t="inlineStr">
        <is>
          <t>—</t>
        </is>
      </c>
      <c r="L114" s="39" t="inlineStr">
        <is>
          <t>📧 ส่ง Email</t>
        </is>
      </c>
    </row>
    <row r="115" ht="14" customHeight="1">
      <c r="A115" s="38" t="n">
        <v>112</v>
      </c>
      <c r="B115" s="39" t="inlineStr">
        <is>
          <t>ซีไลท์ดีเวลลอปเมนท์</t>
        </is>
      </c>
      <c r="C115" s="38" t="inlineStr">
        <is>
          <t>B2B อื่นๆ</t>
        </is>
      </c>
      <c r="D115" s="38" t="n">
        <v>1</v>
      </c>
      <c r="E115" s="77" t="n">
        <v>359708.86</v>
      </c>
      <c r="F115" s="38" t="inlineStr">
        <is>
          <t>0.2%</t>
        </is>
      </c>
      <c r="G115" s="39" t="inlineStr">
        <is>
          <t>อื่นๆ</t>
        </is>
      </c>
      <c r="H115" s="38" t="inlineStr">
        <is>
          <t>2026-01</t>
        </is>
      </c>
      <c r="I115" s="38" t="inlineStr">
        <is>
          <t>PL671</t>
        </is>
      </c>
      <c r="J115" s="38" t="inlineStr">
        <is>
          <t>C - ทั่วไป</t>
        </is>
      </c>
      <c r="K115" s="38" t="inlineStr">
        <is>
          <t>—</t>
        </is>
      </c>
      <c r="L115" s="39" t="inlineStr">
        <is>
          <t>📧 ส่ง Email</t>
        </is>
      </c>
    </row>
    <row r="116" ht="14" customHeight="1">
      <c r="A116" s="38" t="n">
        <v>113</v>
      </c>
      <c r="B116" s="39" t="inlineStr">
        <is>
          <t>เจแอล มอเตอร์</t>
        </is>
      </c>
      <c r="C116" s="38" t="inlineStr">
        <is>
          <t>B2B อื่นๆ</t>
        </is>
      </c>
      <c r="D116" s="38" t="n">
        <v>2</v>
      </c>
      <c r="E116" s="77" t="n">
        <v>353927.01</v>
      </c>
      <c r="F116" s="38" t="inlineStr">
        <is>
          <t>0.2%</t>
        </is>
      </c>
      <c r="G116" s="39" t="inlineStr">
        <is>
          <t>High Mast/อื่นๆ</t>
        </is>
      </c>
      <c r="H116" s="38" t="inlineStr">
        <is>
          <t>2026-01, 2026-03</t>
        </is>
      </c>
      <c r="I116" s="38" t="inlineStr">
        <is>
          <t>PL793</t>
        </is>
      </c>
      <c r="J116" s="38" t="inlineStr">
        <is>
          <t>C - ทั่วไป</t>
        </is>
      </c>
      <c r="K116" s="38" t="inlineStr">
        <is>
          <t>—</t>
        </is>
      </c>
      <c r="L116" s="39" t="inlineStr">
        <is>
          <t>📧 ส่ง Email</t>
        </is>
      </c>
    </row>
    <row r="117" ht="14" customHeight="1">
      <c r="A117" s="38" t="n">
        <v>114</v>
      </c>
      <c r="B117" s="39" t="inlineStr">
        <is>
          <t>เค บี เอ็ม 15 ม.</t>
        </is>
      </c>
      <c r="C117" s="38" t="inlineStr">
        <is>
          <t>B2B อื่นๆ</t>
        </is>
      </c>
      <c r="D117" s="38" t="n">
        <v>1</v>
      </c>
      <c r="E117" s="77" t="n">
        <v>353168.48</v>
      </c>
      <c r="F117" s="38" t="inlineStr">
        <is>
          <t>0.2%</t>
        </is>
      </c>
      <c r="G117" s="39" t="inlineStr">
        <is>
          <t>High Mast</t>
        </is>
      </c>
      <c r="H117" s="38" t="inlineStr">
        <is>
          <t>2026-05</t>
        </is>
      </c>
      <c r="I117" s="38" t="inlineStr">
        <is>
          <t>PL864</t>
        </is>
      </c>
      <c r="J117" s="38" t="inlineStr">
        <is>
          <t>C - ทั่วไป</t>
        </is>
      </c>
      <c r="K117" s="38" t="inlineStr">
        <is>
          <t>อปท. Supply</t>
        </is>
      </c>
      <c r="L117" s="39" t="inlineStr">
        <is>
          <t>📧 ส่ง Email</t>
        </is>
      </c>
    </row>
    <row r="118" ht="14" customHeight="1">
      <c r="A118" s="38" t="n">
        <v>115</v>
      </c>
      <c r="B118" s="39" t="inlineStr">
        <is>
          <t>เอ เอส เอ็ม</t>
        </is>
      </c>
      <c r="C118" s="38" t="inlineStr">
        <is>
          <t>B2B อื่นๆ</t>
        </is>
      </c>
      <c r="D118" s="38" t="n">
        <v>1</v>
      </c>
      <c r="E118" s="77" t="n">
        <v>343363</v>
      </c>
      <c r="F118" s="38" t="inlineStr">
        <is>
          <t>0.2%</t>
        </is>
      </c>
      <c r="G118" s="39" t="inlineStr">
        <is>
          <t>อื่นๆ</t>
        </is>
      </c>
      <c r="H118" s="38" t="inlineStr">
        <is>
          <t>2026-01</t>
        </is>
      </c>
      <c r="I118" s="38" t="inlineStr">
        <is>
          <t>PL675</t>
        </is>
      </c>
      <c r="J118" s="38" t="inlineStr">
        <is>
          <t>C - ทั่วไป</t>
        </is>
      </c>
      <c r="K118" s="38" t="inlineStr">
        <is>
          <t>—</t>
        </is>
      </c>
      <c r="L118" s="39" t="inlineStr">
        <is>
          <t>📧 ส่ง Email</t>
        </is>
      </c>
    </row>
    <row r="119" ht="14" customHeight="1">
      <c r="A119" s="38" t="n">
        <v>116</v>
      </c>
      <c r="B119" s="39" t="inlineStr">
        <is>
          <t>PT ส พิรุณพร</t>
        </is>
      </c>
      <c r="C119" s="38" t="inlineStr">
        <is>
          <t>B2B อื่นๆ</t>
        </is>
      </c>
      <c r="D119" s="38" t="n">
        <v>1</v>
      </c>
      <c r="E119" s="77" t="n">
        <v>330518.72</v>
      </c>
      <c r="F119" s="38" t="inlineStr">
        <is>
          <t>0.2%</t>
        </is>
      </c>
      <c r="G119" s="39" t="inlineStr">
        <is>
          <t>LED Streetlight</t>
        </is>
      </c>
      <c r="H119" s="38" t="inlineStr">
        <is>
          <t>2026-01</t>
        </is>
      </c>
      <c r="I119" s="38" t="inlineStr">
        <is>
          <t>PL659</t>
        </is>
      </c>
      <c r="J119" s="38" t="inlineStr">
        <is>
          <t>C - ทั่วไป</t>
        </is>
      </c>
      <c r="K119" s="38" t="inlineStr">
        <is>
          <t>—</t>
        </is>
      </c>
      <c r="L119" s="39" t="inlineStr">
        <is>
          <t>📧 ส่ง Email</t>
        </is>
      </c>
    </row>
    <row r="120" ht="14" customHeight="1">
      <c r="A120" s="38" t="n">
        <v>117</v>
      </c>
      <c r="B120" s="39" t="inlineStr">
        <is>
          <t>ปั๊มน้ำมัน  ส พิรุณพร</t>
        </is>
      </c>
      <c r="C120" s="38" t="inlineStr">
        <is>
          <t>B2B อื่นๆ</t>
        </is>
      </c>
      <c r="D120" s="38" t="n">
        <v>1</v>
      </c>
      <c r="E120" s="77" t="n">
        <v>330518.72</v>
      </c>
      <c r="F120" s="38" t="inlineStr">
        <is>
          <t>0.2%</t>
        </is>
      </c>
      <c r="G120" s="39" t="inlineStr">
        <is>
          <t>LED Streetlight</t>
        </is>
      </c>
      <c r="H120" s="38" t="inlineStr">
        <is>
          <t>2026-03</t>
        </is>
      </c>
      <c r="I120" s="38" t="inlineStr">
        <is>
          <t>PL753</t>
        </is>
      </c>
      <c r="J120" s="38" t="inlineStr">
        <is>
          <t>C - ทั่วไป</t>
        </is>
      </c>
      <c r="K120" s="38" t="inlineStr">
        <is>
          <t>—</t>
        </is>
      </c>
      <c r="L120" s="39" t="inlineStr">
        <is>
          <t>📧 ส่ง Email</t>
        </is>
      </c>
    </row>
    <row r="121" ht="14" customHeight="1">
      <c r="A121" s="38" t="n">
        <v>118</v>
      </c>
      <c r="B121" s="39" t="inlineStr">
        <is>
          <t>ปี๊มน้ำมัน บริษัท เค.บี.เอ็ม . เทคโนโลยีส์ จำกัด</t>
        </is>
      </c>
      <c r="C121" s="38" t="inlineStr">
        <is>
          <t>B2B บริษัท</t>
        </is>
      </c>
      <c r="D121" s="38" t="n">
        <v>1</v>
      </c>
      <c r="E121" s="77" t="n">
        <v>325981.39</v>
      </c>
      <c r="F121" s="38" t="inlineStr">
        <is>
          <t>0.2%</t>
        </is>
      </c>
      <c r="G121" s="39" t="inlineStr">
        <is>
          <t>LED Streetlight</t>
        </is>
      </c>
      <c r="H121" s="38" t="inlineStr">
        <is>
          <t>2026-03</t>
        </is>
      </c>
      <c r="I121" s="38" t="inlineStr">
        <is>
          <t>PL750</t>
        </is>
      </c>
      <c r="J121" s="38" t="inlineStr">
        <is>
          <t>C - ทั่วไป</t>
        </is>
      </c>
      <c r="K121" s="38" t="inlineStr">
        <is>
          <t>—</t>
        </is>
      </c>
      <c r="L121" s="39" t="inlineStr">
        <is>
          <t>📧 ส่ง Email</t>
        </is>
      </c>
    </row>
    <row r="122" ht="14" customHeight="1">
      <c r="A122" s="38" t="n">
        <v>119</v>
      </c>
      <c r="B122" s="39" t="inlineStr">
        <is>
          <t>อริยทรัพย์</t>
        </is>
      </c>
      <c r="C122" s="38" t="inlineStr">
        <is>
          <t>B2B อื่นๆ</t>
        </is>
      </c>
      <c r="D122" s="38" t="n">
        <v>1</v>
      </c>
      <c r="E122" s="77" t="n">
        <v>322444.5</v>
      </c>
      <c r="F122" s="38" t="inlineStr">
        <is>
          <t>0.2%</t>
        </is>
      </c>
      <c r="G122" s="39" t="inlineStr">
        <is>
          <t>High Mast</t>
        </is>
      </c>
      <c r="H122" s="38" t="inlineStr">
        <is>
          <t>2026-04</t>
        </is>
      </c>
      <c r="I122" s="38" t="inlineStr">
        <is>
          <t>PL804</t>
        </is>
      </c>
      <c r="J122" s="38" t="inlineStr">
        <is>
          <t>C - ทั่วไป</t>
        </is>
      </c>
      <c r="K122" s="38" t="inlineStr">
        <is>
          <t>—</t>
        </is>
      </c>
      <c r="L122" s="39" t="inlineStr">
        <is>
          <t>📧 ส่ง Email</t>
        </is>
      </c>
    </row>
    <row r="123" ht="14" customHeight="1">
      <c r="A123" s="38" t="n">
        <v>120</v>
      </c>
      <c r="B123" s="39" t="inlineStr">
        <is>
          <t>สมบูรณ์อิเลคทริค หนองบัวลำภู</t>
        </is>
      </c>
      <c r="C123" s="38" t="inlineStr">
        <is>
          <t>B2B อื่นๆ</t>
        </is>
      </c>
      <c r="D123" s="38" t="n">
        <v>1</v>
      </c>
      <c r="E123" s="77" t="n">
        <v>320661.88</v>
      </c>
      <c r="F123" s="38" t="inlineStr">
        <is>
          <t>0.2%</t>
        </is>
      </c>
      <c r="G123" s="39" t="inlineStr">
        <is>
          <t>Guard Rail / การ์ดเรล</t>
        </is>
      </c>
      <c r="H123" s="38" t="inlineStr">
        <is>
          <t>2026-05</t>
        </is>
      </c>
      <c r="I123" s="38" t="inlineStr">
        <is>
          <t>PL871</t>
        </is>
      </c>
      <c r="J123" s="38" t="inlineStr">
        <is>
          <t>C - ทั่วไป</t>
        </is>
      </c>
      <c r="K123" s="38" t="inlineStr">
        <is>
          <t>—</t>
        </is>
      </c>
      <c r="L123" s="39" t="inlineStr">
        <is>
          <t>📧 ส่ง Email</t>
        </is>
      </c>
    </row>
    <row r="124" ht="14" customHeight="1">
      <c r="A124" s="38" t="n">
        <v>121</v>
      </c>
      <c r="B124" s="39" t="inlineStr">
        <is>
          <t>คุณนพกร</t>
        </is>
      </c>
      <c r="C124" s="38" t="inlineStr">
        <is>
          <t>B2C บุคคล</t>
        </is>
      </c>
      <c r="D124" s="38" t="n">
        <v>1</v>
      </c>
      <c r="E124" s="77" t="n">
        <v>320627.13</v>
      </c>
      <c r="F124" s="38" t="inlineStr">
        <is>
          <t>0.2%</t>
        </is>
      </c>
      <c r="G124" s="39" t="inlineStr">
        <is>
          <t>Guard Rail / การ์ดเรล</t>
        </is>
      </c>
      <c r="H124" s="38" t="inlineStr">
        <is>
          <t>2026-06</t>
        </is>
      </c>
      <c r="I124" s="38" t="inlineStr">
        <is>
          <t>PL936</t>
        </is>
      </c>
      <c r="J124" s="38" t="inlineStr">
        <is>
          <t>C - ทั่วไป</t>
        </is>
      </c>
      <c r="K124" s="38" t="inlineStr">
        <is>
          <t>—</t>
        </is>
      </c>
      <c r="L124" s="39" t="inlineStr">
        <is>
          <t>📧 ส่ง Email</t>
        </is>
      </c>
    </row>
    <row r="125" ht="14" customHeight="1">
      <c r="A125" s="38" t="n">
        <v>122</v>
      </c>
      <c r="B125" s="39" t="inlineStr">
        <is>
          <t>บ.อินทิกริตี้ เซอร์วิส</t>
        </is>
      </c>
      <c r="C125" s="38" t="inlineStr">
        <is>
          <t>B2B อื่นๆ</t>
        </is>
      </c>
      <c r="D125" s="38" t="n">
        <v>1</v>
      </c>
      <c r="E125" s="77" t="n">
        <v>315714.2</v>
      </c>
      <c r="F125" s="38" t="inlineStr">
        <is>
          <t>0.2%</t>
        </is>
      </c>
      <c r="G125" s="39" t="inlineStr">
        <is>
          <t>High Mast</t>
        </is>
      </c>
      <c r="H125" s="38" t="inlineStr">
        <is>
          <t>2026-02</t>
        </is>
      </c>
      <c r="I125" s="38" t="inlineStr">
        <is>
          <t>PL718</t>
        </is>
      </c>
      <c r="J125" s="38" t="inlineStr">
        <is>
          <t>C - ทั่วไป</t>
        </is>
      </c>
      <c r="K125" s="38" t="inlineStr">
        <is>
          <t>—</t>
        </is>
      </c>
      <c r="L125" s="39" t="inlineStr">
        <is>
          <t>📧 ส่ง Email</t>
        </is>
      </c>
    </row>
    <row r="126" ht="14" customHeight="1">
      <c r="A126" s="38" t="n">
        <v>123</v>
      </c>
      <c r="B126" s="39" t="inlineStr">
        <is>
          <t>กัณฑพงษ์</t>
        </is>
      </c>
      <c r="C126" s="38" t="inlineStr">
        <is>
          <t>B2B อื่นๆ</t>
        </is>
      </c>
      <c r="D126" s="38" t="n">
        <v>2</v>
      </c>
      <c r="E126" s="77" t="n">
        <v>311040.98</v>
      </c>
      <c r="F126" s="38" t="inlineStr">
        <is>
          <t>0.2%</t>
        </is>
      </c>
      <c r="G126" s="39" t="inlineStr">
        <is>
          <t>เสาไฟถนน/Guard Rail / การ์ดเรล</t>
        </is>
      </c>
      <c r="H126" s="38" t="inlineStr">
        <is>
          <t>2026-02</t>
        </is>
      </c>
      <c r="I126" s="38" t="inlineStr">
        <is>
          <t>PL720</t>
        </is>
      </c>
      <c r="J126" s="38" t="inlineStr">
        <is>
          <t>C - ทั่วไป</t>
        </is>
      </c>
      <c r="K126" s="38" t="inlineStr">
        <is>
          <t>—</t>
        </is>
      </c>
      <c r="L126" s="39" t="inlineStr">
        <is>
          <t>📧 ส่ง Email</t>
        </is>
      </c>
    </row>
    <row r="127" ht="14" customHeight="1">
      <c r="A127" s="38" t="n">
        <v>124</v>
      </c>
      <c r="B127" s="39" t="inlineStr">
        <is>
          <t>เอส ที เซอร์วิส ชุมพร</t>
        </is>
      </c>
      <c r="C127" s="38" t="inlineStr">
        <is>
          <t>B2B อื่นๆ</t>
        </is>
      </c>
      <c r="D127" s="38" t="n">
        <v>1</v>
      </c>
      <c r="E127" s="77" t="n">
        <v>304639.27</v>
      </c>
      <c r="F127" s="38" t="inlineStr">
        <is>
          <t>0.2%</t>
        </is>
      </c>
      <c r="G127" s="39" t="inlineStr">
        <is>
          <t>High Mast</t>
        </is>
      </c>
      <c r="H127" s="38" t="inlineStr">
        <is>
          <t>2026-05</t>
        </is>
      </c>
      <c r="I127" s="38" t="inlineStr">
        <is>
          <t>PL848</t>
        </is>
      </c>
      <c r="J127" s="38" t="inlineStr">
        <is>
          <t>C - ทั่วไป</t>
        </is>
      </c>
      <c r="K127" s="38" t="inlineStr">
        <is>
          <t>—</t>
        </is>
      </c>
      <c r="L127" s="39" t="inlineStr">
        <is>
          <t>📧 ส่ง Email</t>
        </is>
      </c>
    </row>
    <row r="128" ht="14" customHeight="1">
      <c r="A128" s="38" t="n">
        <v>125</v>
      </c>
      <c r="B128" s="39" t="inlineStr">
        <is>
          <t>เอ็ม สปอร์ต</t>
        </is>
      </c>
      <c r="C128" s="38" t="inlineStr">
        <is>
          <t>B2B อื่นๆ</t>
        </is>
      </c>
      <c r="D128" s="38" t="n">
        <v>1</v>
      </c>
      <c r="E128" s="77" t="n">
        <v>304094</v>
      </c>
      <c r="F128" s="38" t="inlineStr">
        <is>
          <t>0.2%</t>
        </is>
      </c>
      <c r="G128" s="39" t="inlineStr">
        <is>
          <t>อื่นๆ</t>
        </is>
      </c>
      <c r="H128" s="38" t="inlineStr">
        <is>
          <t>2026-02</t>
        </is>
      </c>
      <c r="I128" s="38" t="inlineStr">
        <is>
          <t>PL698</t>
        </is>
      </c>
      <c r="J128" s="38" t="inlineStr">
        <is>
          <t>C - ทั่วไป</t>
        </is>
      </c>
      <c r="K128" s="38" t="inlineStr">
        <is>
          <t>—</t>
        </is>
      </c>
      <c r="L128" s="39" t="inlineStr">
        <is>
          <t>📧 ส่ง Email</t>
        </is>
      </c>
    </row>
    <row r="129" ht="14" customHeight="1">
      <c r="A129" s="38" t="n">
        <v>126</v>
      </c>
      <c r="B129" s="39" t="inlineStr">
        <is>
          <t>สยามเอ็กซ์เทน</t>
        </is>
      </c>
      <c r="C129" s="38" t="inlineStr">
        <is>
          <t>B2B อื่นๆ</t>
        </is>
      </c>
      <c r="D129" s="38" t="n">
        <v>1</v>
      </c>
      <c r="E129" s="77" t="n">
        <v>301535.42</v>
      </c>
      <c r="F129" s="38" t="inlineStr">
        <is>
          <t>0.2%</t>
        </is>
      </c>
      <c r="G129" s="39" t="inlineStr">
        <is>
          <t>High Mast</t>
        </is>
      </c>
      <c r="H129" s="38" t="inlineStr">
        <is>
          <t>2026-02</t>
        </is>
      </c>
      <c r="I129" s="38" t="inlineStr">
        <is>
          <t>PL690</t>
        </is>
      </c>
      <c r="J129" s="38" t="inlineStr">
        <is>
          <t>C - ทั่วไป</t>
        </is>
      </c>
      <c r="K129" s="38" t="inlineStr">
        <is>
          <t>—</t>
        </is>
      </c>
      <c r="L129" s="39" t="inlineStr">
        <is>
          <t>📧 ส่ง Email</t>
        </is>
      </c>
    </row>
    <row r="130" ht="14" customHeight="1">
      <c r="A130" s="38" t="n">
        <v>127</v>
      </c>
      <c r="B130" s="39" t="inlineStr">
        <is>
          <t>ภูมิพฤกษา</t>
        </is>
      </c>
      <c r="C130" s="38" t="inlineStr">
        <is>
          <t>B2B อื่นๆ</t>
        </is>
      </c>
      <c r="D130" s="38" t="n">
        <v>1</v>
      </c>
      <c r="E130" s="77" t="n">
        <v>300423.9</v>
      </c>
      <c r="F130" s="38" t="inlineStr">
        <is>
          <t>0.2%</t>
        </is>
      </c>
      <c r="G130" s="39" t="inlineStr">
        <is>
          <t>High Mast</t>
        </is>
      </c>
      <c r="H130" s="38" t="inlineStr">
        <is>
          <t>2026-03</t>
        </is>
      </c>
      <c r="I130" s="38" t="inlineStr">
        <is>
          <t>PL779</t>
        </is>
      </c>
      <c r="J130" s="38" t="inlineStr">
        <is>
          <t>C - ทั่วไป</t>
        </is>
      </c>
      <c r="K130" s="38" t="inlineStr">
        <is>
          <t>—</t>
        </is>
      </c>
      <c r="L130" s="39" t="inlineStr">
        <is>
          <t>📧 ส่ง Email</t>
        </is>
      </c>
    </row>
    <row r="131" ht="14" customHeight="1">
      <c r="A131" s="46" t="n">
        <v>128</v>
      </c>
      <c r="B131" s="47" t="inlineStr">
        <is>
          <t>สมปอง</t>
        </is>
      </c>
      <c r="C131" s="46" t="inlineStr">
        <is>
          <t>B2B อื่นๆ</t>
        </is>
      </c>
      <c r="D131" s="46" t="n">
        <v>1</v>
      </c>
      <c r="E131" s="78" t="n">
        <v>299144.61</v>
      </c>
      <c r="F131" s="46" t="inlineStr">
        <is>
          <t>0.2%</t>
        </is>
      </c>
      <c r="G131" s="47" t="inlineStr">
        <is>
          <t>High Mast</t>
        </is>
      </c>
      <c r="H131" s="46" t="inlineStr">
        <is>
          <t>2026-02</t>
        </is>
      </c>
      <c r="I131" s="46" t="inlineStr">
        <is>
          <t>PL719</t>
        </is>
      </c>
      <c r="J131" s="46" t="inlineStr">
        <is>
          <t>D - รอผล</t>
        </is>
      </c>
      <c r="K131" s="46" t="inlineStr">
        <is>
          <t>—</t>
        </is>
      </c>
      <c r="L131" s="47" t="inlineStr">
        <is>
          <t>⚪ รอสอบถาม</t>
        </is>
      </c>
    </row>
    <row r="132" ht="14" customHeight="1">
      <c r="A132" s="46" t="n">
        <v>129</v>
      </c>
      <c r="B132" s="47" t="inlineStr">
        <is>
          <t>ไทยเค โกลบอล</t>
        </is>
      </c>
      <c r="C132" s="46" t="inlineStr">
        <is>
          <t>B2B อื่นๆ</t>
        </is>
      </c>
      <c r="D132" s="46" t="n">
        <v>1</v>
      </c>
      <c r="E132" s="78" t="n">
        <v>296124.64</v>
      </c>
      <c r="F132" s="46" t="inlineStr">
        <is>
          <t>0.2%</t>
        </is>
      </c>
      <c r="G132" s="47" t="inlineStr">
        <is>
          <t>High Mast</t>
        </is>
      </c>
      <c r="H132" s="46" t="inlineStr">
        <is>
          <t>2026-05</t>
        </is>
      </c>
      <c r="I132" s="46" t="inlineStr">
        <is>
          <t>PL866</t>
        </is>
      </c>
      <c r="J132" s="46" t="inlineStr">
        <is>
          <t>D - รอผล</t>
        </is>
      </c>
      <c r="K132" s="46" t="inlineStr">
        <is>
          <t>—</t>
        </is>
      </c>
      <c r="L132" s="47" t="inlineStr">
        <is>
          <t>⚪ รอสอบถาม</t>
        </is>
      </c>
    </row>
    <row r="133" ht="14" customHeight="1">
      <c r="A133" s="46" t="n">
        <v>130</v>
      </c>
      <c r="B133" s="47" t="inlineStr">
        <is>
          <t>พลอยภัค</t>
        </is>
      </c>
      <c r="C133" s="46" t="inlineStr">
        <is>
          <t>B2B อื่นๆ</t>
        </is>
      </c>
      <c r="D133" s="46" t="n">
        <v>1</v>
      </c>
      <c r="E133" s="78" t="n">
        <v>290671.92</v>
      </c>
      <c r="F133" s="46" t="inlineStr">
        <is>
          <t>0.2%</t>
        </is>
      </c>
      <c r="G133" s="47" t="inlineStr">
        <is>
          <t>เสาไฟถนน</t>
        </is>
      </c>
      <c r="H133" s="46" t="inlineStr">
        <is>
          <t>2026-01</t>
        </is>
      </c>
      <c r="I133" s="46" t="inlineStr">
        <is>
          <t>PL679</t>
        </is>
      </c>
      <c r="J133" s="46" t="inlineStr">
        <is>
          <t>D - รอผล</t>
        </is>
      </c>
      <c r="K133" s="46" t="inlineStr">
        <is>
          <t>—</t>
        </is>
      </c>
      <c r="L133" s="47" t="inlineStr">
        <is>
          <t>⚪ รอสอบถาม</t>
        </is>
      </c>
    </row>
    <row r="134" ht="14" customHeight="1">
      <c r="A134" s="46" t="n">
        <v>131</v>
      </c>
      <c r="B134" s="47" t="inlineStr">
        <is>
          <t>ร้าน เอพี กรุ๊ป</t>
        </is>
      </c>
      <c r="C134" s="46" t="inlineStr">
        <is>
          <t>B2B Dealer</t>
        </is>
      </c>
      <c r="D134" s="46" t="n">
        <v>1</v>
      </c>
      <c r="E134" s="78" t="n">
        <v>289937.9</v>
      </c>
      <c r="F134" s="46" t="inlineStr">
        <is>
          <t>0.2%</t>
        </is>
      </c>
      <c r="G134" s="47" t="inlineStr">
        <is>
          <t>เสาไฟถนน</t>
        </is>
      </c>
      <c r="H134" s="46" t="inlineStr">
        <is>
          <t>2026-02</t>
        </is>
      </c>
      <c r="I134" s="46" t="inlineStr">
        <is>
          <t>PL726</t>
        </is>
      </c>
      <c r="J134" s="46" t="inlineStr">
        <is>
          <t>D - รอผล</t>
        </is>
      </c>
      <c r="K134" s="46" t="inlineStr">
        <is>
          <t>—</t>
        </is>
      </c>
      <c r="L134" s="47" t="inlineStr">
        <is>
          <t>⚪ รอสอบถาม</t>
        </is>
      </c>
    </row>
    <row r="135" ht="14" customHeight="1">
      <c r="A135" s="46" t="n">
        <v>132</v>
      </c>
      <c r="B135" s="47" t="inlineStr">
        <is>
          <t>เมธาภาวัต</t>
        </is>
      </c>
      <c r="C135" s="46" t="inlineStr">
        <is>
          <t>B2B อื่นๆ</t>
        </is>
      </c>
      <c r="D135" s="46" t="n">
        <v>1</v>
      </c>
      <c r="E135" s="78" t="n">
        <v>288679.58</v>
      </c>
      <c r="F135" s="46" t="inlineStr">
        <is>
          <t>0.2%</t>
        </is>
      </c>
      <c r="G135" s="47" t="inlineStr">
        <is>
          <t>High Mast</t>
        </is>
      </c>
      <c r="H135" s="46" t="inlineStr">
        <is>
          <t>2026-04</t>
        </is>
      </c>
      <c r="I135" s="46" t="inlineStr">
        <is>
          <t>PL799</t>
        </is>
      </c>
      <c r="J135" s="46" t="inlineStr">
        <is>
          <t>D - รอผล</t>
        </is>
      </c>
      <c r="K135" s="46" t="inlineStr">
        <is>
          <t>—</t>
        </is>
      </c>
      <c r="L135" s="47" t="inlineStr">
        <is>
          <t>⚪ รอสอบถาม</t>
        </is>
      </c>
    </row>
    <row r="136" ht="14" customHeight="1">
      <c r="A136" s="46" t="n">
        <v>133</v>
      </c>
      <c r="B136" s="47" t="inlineStr">
        <is>
          <t>หจก.มัลติเคิล ลาจเน็จ</t>
        </is>
      </c>
      <c r="C136" s="46" t="inlineStr">
        <is>
          <t>B2B หจก.</t>
        </is>
      </c>
      <c r="D136" s="46" t="n">
        <v>1</v>
      </c>
      <c r="E136" s="78" t="n">
        <v>261772.5</v>
      </c>
      <c r="F136" s="46" t="inlineStr">
        <is>
          <t>0.1%</t>
        </is>
      </c>
      <c r="G136" s="47" t="inlineStr">
        <is>
          <t>อื่นๆ</t>
        </is>
      </c>
      <c r="H136" s="46" t="inlineStr">
        <is>
          <t>2026-03</t>
        </is>
      </c>
      <c r="I136" s="46" t="inlineStr">
        <is>
          <t>PL763</t>
        </is>
      </c>
      <c r="J136" s="46" t="inlineStr">
        <is>
          <t>D - รอผล</t>
        </is>
      </c>
      <c r="K136" s="46" t="inlineStr">
        <is>
          <t>—</t>
        </is>
      </c>
      <c r="L136" s="47" t="inlineStr">
        <is>
          <t>⚪ รอสอบถาม</t>
        </is>
      </c>
    </row>
    <row r="137" ht="14" customHeight="1">
      <c r="A137" s="46" t="n">
        <v>134</v>
      </c>
      <c r="B137" s="47" t="inlineStr">
        <is>
          <t>กรุงเทพสนามจันทร์</t>
        </is>
      </c>
      <c r="C137" s="46" t="inlineStr">
        <is>
          <t>B2B อื่นๆ</t>
        </is>
      </c>
      <c r="D137" s="46" t="n">
        <v>1</v>
      </c>
      <c r="E137" s="78" t="n">
        <v>254683.97</v>
      </c>
      <c r="F137" s="46" t="inlineStr">
        <is>
          <t>0.1%</t>
        </is>
      </c>
      <c r="G137" s="47" t="inlineStr">
        <is>
          <t>High Mast</t>
        </is>
      </c>
      <c r="H137" s="46" t="inlineStr">
        <is>
          <t>2026-02</t>
        </is>
      </c>
      <c r="I137" s="46" t="inlineStr">
        <is>
          <t>PL727</t>
        </is>
      </c>
      <c r="J137" s="46" t="inlineStr">
        <is>
          <t>D - รอผล</t>
        </is>
      </c>
      <c r="K137" s="46" t="inlineStr">
        <is>
          <t>—</t>
        </is>
      </c>
      <c r="L137" s="47" t="inlineStr">
        <is>
          <t>⚪ รอสอบถาม</t>
        </is>
      </c>
    </row>
    <row r="138" ht="14" customHeight="1">
      <c r="A138" s="46" t="n">
        <v>135</v>
      </c>
      <c r="B138" s="47" t="inlineStr">
        <is>
          <t>วันชัย</t>
        </is>
      </c>
      <c r="C138" s="46" t="inlineStr">
        <is>
          <t>B2B อื่นๆ</t>
        </is>
      </c>
      <c r="D138" s="46" t="n">
        <v>1</v>
      </c>
      <c r="E138" s="78" t="n">
        <v>243906.5</v>
      </c>
      <c r="F138" s="46" t="inlineStr">
        <is>
          <t>0.1%</t>
        </is>
      </c>
      <c r="G138" s="47" t="inlineStr">
        <is>
          <t>High Mast</t>
        </is>
      </c>
      <c r="H138" s="46" t="inlineStr">
        <is>
          <t>2026-05</t>
        </is>
      </c>
      <c r="I138" s="46" t="inlineStr">
        <is>
          <t>PL849</t>
        </is>
      </c>
      <c r="J138" s="46" t="inlineStr">
        <is>
          <t>D - รอผล</t>
        </is>
      </c>
      <c r="K138" s="46" t="inlineStr">
        <is>
          <t>—</t>
        </is>
      </c>
      <c r="L138" s="47" t="inlineStr">
        <is>
          <t>⚪ รอสอบถาม</t>
        </is>
      </c>
    </row>
    <row r="139" ht="14" customHeight="1">
      <c r="A139" s="46" t="n">
        <v>136</v>
      </c>
      <c r="B139" s="47" t="inlineStr">
        <is>
          <t>โชคเพิ่มพูน</t>
        </is>
      </c>
      <c r="C139" s="46" t="inlineStr">
        <is>
          <t>B2B อื่นๆ</t>
        </is>
      </c>
      <c r="D139" s="46" t="n">
        <v>1</v>
      </c>
      <c r="E139" s="78" t="n">
        <v>236669.02</v>
      </c>
      <c r="F139" s="46" t="inlineStr">
        <is>
          <t>0.1%</t>
        </is>
      </c>
      <c r="G139" s="47" t="inlineStr">
        <is>
          <t>High Mast</t>
        </is>
      </c>
      <c r="H139" s="46" t="inlineStr">
        <is>
          <t>2026-05</t>
        </is>
      </c>
      <c r="I139" s="46" t="inlineStr">
        <is>
          <t>PL878</t>
        </is>
      </c>
      <c r="J139" s="46" t="inlineStr">
        <is>
          <t>D - รอผล</t>
        </is>
      </c>
      <c r="K139" s="46" t="inlineStr">
        <is>
          <t>—</t>
        </is>
      </c>
      <c r="L139" s="47" t="inlineStr">
        <is>
          <t>⚪ รอสอบถาม</t>
        </is>
      </c>
    </row>
    <row r="140" ht="14" customHeight="1">
      <c r="A140" s="46" t="n">
        <v>137</v>
      </c>
      <c r="B140" s="47" t="inlineStr">
        <is>
          <t>บริษัท แอสเซนท คอรปอเรชั่น จำกัด</t>
        </is>
      </c>
      <c r="C140" s="46" t="inlineStr">
        <is>
          <t>B2B บริษัท</t>
        </is>
      </c>
      <c r="D140" s="46" t="n">
        <v>1</v>
      </c>
      <c r="E140" s="78" t="n">
        <v>236669.02</v>
      </c>
      <c r="F140" s="46" t="inlineStr">
        <is>
          <t>0.1%</t>
        </is>
      </c>
      <c r="G140" s="47" t="inlineStr">
        <is>
          <t>High Mast</t>
        </is>
      </c>
      <c r="H140" s="46" t="inlineStr">
        <is>
          <t>2026-06</t>
        </is>
      </c>
      <c r="I140" s="46" t="inlineStr">
        <is>
          <t>PL945</t>
        </is>
      </c>
      <c r="J140" s="46" t="inlineStr">
        <is>
          <t>D - รอผล</t>
        </is>
      </c>
      <c r="K140" s="46" t="inlineStr">
        <is>
          <t>—</t>
        </is>
      </c>
      <c r="L140" s="47" t="inlineStr">
        <is>
          <t>⚪ รอสอบถาม</t>
        </is>
      </c>
    </row>
    <row r="141" ht="14" customHeight="1">
      <c r="A141" s="46" t="n">
        <v>138</v>
      </c>
      <c r="B141" s="47" t="inlineStr">
        <is>
          <t>บริษัท ไซเบอร์ลิ้ง(ไทยแลนด์) จำกัด</t>
        </is>
      </c>
      <c r="C141" s="46" t="inlineStr">
        <is>
          <t>B2B บริษัท</t>
        </is>
      </c>
      <c r="D141" s="46" t="n">
        <v>1</v>
      </c>
      <c r="E141" s="78" t="n">
        <v>236354.44</v>
      </c>
      <c r="F141" s="46" t="inlineStr">
        <is>
          <t>0.1%</t>
        </is>
      </c>
      <c r="G141" s="47" t="inlineStr">
        <is>
          <t>เสาไฟถนน</t>
        </is>
      </c>
      <c r="H141" s="46" t="inlineStr">
        <is>
          <t>2026-04</t>
        </is>
      </c>
      <c r="I141" s="46" t="inlineStr">
        <is>
          <t>PL823</t>
        </is>
      </c>
      <c r="J141" s="46" t="inlineStr">
        <is>
          <t>D - รอผล</t>
        </is>
      </c>
      <c r="K141" s="46" t="inlineStr">
        <is>
          <t>—</t>
        </is>
      </c>
      <c r="L141" s="47" t="inlineStr">
        <is>
          <t>⚪ รอสอบถาม</t>
        </is>
      </c>
    </row>
    <row r="142" ht="14" customHeight="1">
      <c r="A142" s="46" t="n">
        <v>139</v>
      </c>
      <c r="B142" s="47" t="inlineStr">
        <is>
          <t>ปี๊มน้ำมัน บริษัท อินเตอร์ เฟอร์นิคอน จำกัด ( สำนักงานใหญ่)</t>
        </is>
      </c>
      <c r="C142" s="46" t="inlineStr">
        <is>
          <t>B2G ภาครัฐ</t>
        </is>
      </c>
      <c r="D142" s="46" t="n">
        <v>1</v>
      </c>
      <c r="E142" s="78" t="n">
        <v>231922.5</v>
      </c>
      <c r="F142" s="46" t="inlineStr">
        <is>
          <t>0.1%</t>
        </is>
      </c>
      <c r="G142" s="47" t="inlineStr">
        <is>
          <t>เสาไฟถนน</t>
        </is>
      </c>
      <c r="H142" s="46" t="inlineStr">
        <is>
          <t>2026-03</t>
        </is>
      </c>
      <c r="I142" s="46" t="inlineStr">
        <is>
          <t>PL752</t>
        </is>
      </c>
      <c r="J142" s="46" t="inlineStr">
        <is>
          <t>D - รอผล</t>
        </is>
      </c>
      <c r="K142" s="46" t="inlineStr">
        <is>
          <t>—</t>
        </is>
      </c>
      <c r="L142" s="47" t="inlineStr">
        <is>
          <t>⚪ รอสอบถาม</t>
        </is>
      </c>
    </row>
    <row r="143" ht="14" customHeight="1">
      <c r="A143" s="46" t="n">
        <v>140</v>
      </c>
      <c r="B143" s="47" t="inlineStr">
        <is>
          <t>บ.เอฟดี</t>
        </is>
      </c>
      <c r="C143" s="46" t="inlineStr">
        <is>
          <t>B2B อื่นๆ</t>
        </is>
      </c>
      <c r="D143" s="46" t="n">
        <v>1</v>
      </c>
      <c r="E143" s="78" t="n">
        <v>231216.3</v>
      </c>
      <c r="F143" s="46" t="inlineStr">
        <is>
          <t>0.1%</t>
        </is>
      </c>
      <c r="G143" s="47" t="inlineStr">
        <is>
          <t>เสาไฟถนน</t>
        </is>
      </c>
      <c r="H143" s="46" t="inlineStr">
        <is>
          <t>2026-04</t>
        </is>
      </c>
      <c r="I143" s="46" t="inlineStr">
        <is>
          <t>PL812</t>
        </is>
      </c>
      <c r="J143" s="46" t="inlineStr">
        <is>
          <t>D - รอผล</t>
        </is>
      </c>
      <c r="K143" s="46" t="inlineStr">
        <is>
          <t>—</t>
        </is>
      </c>
      <c r="L143" s="47" t="inlineStr">
        <is>
          <t>⚪ รอสอบถาม</t>
        </is>
      </c>
    </row>
    <row r="144" ht="14" customHeight="1">
      <c r="A144" s="46" t="n">
        <v>141</v>
      </c>
      <c r="B144" s="47" t="inlineStr">
        <is>
          <t>บ. โซล่าร์วัน คอนสตรัคชั่น</t>
        </is>
      </c>
      <c r="C144" s="46" t="inlineStr">
        <is>
          <t>B2B อื่นๆ</t>
        </is>
      </c>
      <c r="D144" s="46" t="n">
        <v>1</v>
      </c>
      <c r="E144" s="78" t="n">
        <v>230429.85</v>
      </c>
      <c r="F144" s="46" t="inlineStr">
        <is>
          <t>0.1%</t>
        </is>
      </c>
      <c r="G144" s="47" t="inlineStr">
        <is>
          <t>เสาไฟถนน</t>
        </is>
      </c>
      <c r="H144" s="46" t="inlineStr">
        <is>
          <t>2026-02</t>
        </is>
      </c>
      <c r="I144" s="46" t="inlineStr">
        <is>
          <t>PL737</t>
        </is>
      </c>
      <c r="J144" s="46" t="inlineStr">
        <is>
          <t>D - รอผล</t>
        </is>
      </c>
      <c r="K144" s="46" t="inlineStr">
        <is>
          <t>—</t>
        </is>
      </c>
      <c r="L144" s="47" t="inlineStr">
        <is>
          <t>⚪ รอสอบถาม</t>
        </is>
      </c>
    </row>
    <row r="145" ht="14" customHeight="1">
      <c r="A145" s="46" t="n">
        <v>142</v>
      </c>
      <c r="B145" s="47" t="inlineStr">
        <is>
          <t>สรรค์สร้างสุข</t>
        </is>
      </c>
      <c r="C145" s="46" t="inlineStr">
        <is>
          <t>B2B อื่นๆ</t>
        </is>
      </c>
      <c r="D145" s="46" t="n">
        <v>2</v>
      </c>
      <c r="E145" s="78" t="n">
        <v>229119.1</v>
      </c>
      <c r="F145" s="46" t="inlineStr">
        <is>
          <t>0.1%</t>
        </is>
      </c>
      <c r="G145" s="47" t="inlineStr">
        <is>
          <t>High Mast/LED Floodlight</t>
        </is>
      </c>
      <c r="H145" s="46" t="inlineStr">
        <is>
          <t>2026-05</t>
        </is>
      </c>
      <c r="I145" s="46" t="inlineStr">
        <is>
          <t>PL906</t>
        </is>
      </c>
      <c r="J145" s="46" t="inlineStr">
        <is>
          <t>D - รอผล</t>
        </is>
      </c>
      <c r="K145" s="46" t="inlineStr">
        <is>
          <t>—</t>
        </is>
      </c>
      <c r="L145" s="47" t="inlineStr">
        <is>
          <t>⚪ รอสอบถาม</t>
        </is>
      </c>
    </row>
    <row r="146" ht="14" customHeight="1">
      <c r="A146" s="46" t="n">
        <v>143</v>
      </c>
      <c r="B146" s="47" t="inlineStr">
        <is>
          <t>บริษัท เบสท์-แพค คอนกรีต จำกัด -Update  ราคาไฮแมส</t>
        </is>
      </c>
      <c r="C146" s="46" t="inlineStr">
        <is>
          <t>B2B บริษัท</t>
        </is>
      </c>
      <c r="D146" s="46" t="n">
        <v>1</v>
      </c>
      <c r="E146" s="78" t="n">
        <v>227749.5</v>
      </c>
      <c r="F146" s="46" t="inlineStr">
        <is>
          <t>0.1%</t>
        </is>
      </c>
      <c r="G146" s="47" t="inlineStr">
        <is>
          <t>อื่นๆ</t>
        </is>
      </c>
      <c r="H146" s="46" t="inlineStr">
        <is>
          <t>2026-04</t>
        </is>
      </c>
      <c r="I146" s="46" t="inlineStr">
        <is>
          <t>PL809</t>
        </is>
      </c>
      <c r="J146" s="46" t="inlineStr">
        <is>
          <t>D - รอผล</t>
        </is>
      </c>
      <c r="K146" s="46" t="inlineStr">
        <is>
          <t>—</t>
        </is>
      </c>
      <c r="L146" s="47" t="inlineStr">
        <is>
          <t>⚪ รอสอบถาม</t>
        </is>
      </c>
    </row>
    <row r="147" ht="14" customHeight="1">
      <c r="A147" s="46" t="n">
        <v>144</v>
      </c>
      <c r="B147" s="47" t="inlineStr">
        <is>
          <t>เอเชีย ซินเทค</t>
        </is>
      </c>
      <c r="C147" s="46" t="inlineStr">
        <is>
          <t>B2B อื่นๆ</t>
        </is>
      </c>
      <c r="D147" s="46" t="n">
        <v>1</v>
      </c>
      <c r="E147" s="78" t="n">
        <v>222051.54</v>
      </c>
      <c r="F147" s="46" t="inlineStr">
        <is>
          <t>0.1%</t>
        </is>
      </c>
      <c r="G147" s="47" t="inlineStr">
        <is>
          <t>เสาไฟถนน</t>
        </is>
      </c>
      <c r="H147" s="46" t="inlineStr">
        <is>
          <t>2026-06</t>
        </is>
      </c>
      <c r="I147" s="46" t="inlineStr">
        <is>
          <t>PL928</t>
        </is>
      </c>
      <c r="J147" s="46" t="inlineStr">
        <is>
          <t>D - รอผล</t>
        </is>
      </c>
      <c r="K147" s="46" t="inlineStr">
        <is>
          <t>—</t>
        </is>
      </c>
      <c r="L147" s="47" t="inlineStr">
        <is>
          <t>⚪ รอสอบถาม</t>
        </is>
      </c>
    </row>
    <row r="148" ht="14" customHeight="1">
      <c r="A148" s="46" t="n">
        <v>145</v>
      </c>
      <c r="B148" s="47" t="inlineStr">
        <is>
          <t>รุ่งนภาเพิ่มพูลทรัพย์</t>
        </is>
      </c>
      <c r="C148" s="46" t="inlineStr">
        <is>
          <t>B2B อื่นๆ</t>
        </is>
      </c>
      <c r="D148" s="46" t="n">
        <v>1</v>
      </c>
      <c r="E148" s="78" t="n">
        <v>217479.64</v>
      </c>
      <c r="F148" s="46" t="inlineStr">
        <is>
          <t>0.1%</t>
        </is>
      </c>
      <c r="G148" s="47" t="inlineStr">
        <is>
          <t>High Mast</t>
        </is>
      </c>
      <c r="H148" s="46" t="inlineStr">
        <is>
          <t>2026-06</t>
        </is>
      </c>
      <c r="I148" s="46" t="inlineStr">
        <is>
          <t>PL934</t>
        </is>
      </c>
      <c r="J148" s="46" t="inlineStr">
        <is>
          <t>D - รอผล</t>
        </is>
      </c>
      <c r="K148" s="46" t="inlineStr">
        <is>
          <t>—</t>
        </is>
      </c>
      <c r="L148" s="47" t="inlineStr">
        <is>
          <t>⚪ รอสอบถาม</t>
        </is>
      </c>
    </row>
    <row r="149" ht="14" customHeight="1">
      <c r="A149" s="46" t="n">
        <v>146</v>
      </c>
      <c r="B149" s="47" t="inlineStr">
        <is>
          <t>PT ชาติดกิติออย</t>
        </is>
      </c>
      <c r="C149" s="46" t="inlineStr">
        <is>
          <t>B2B อื่นๆ</t>
        </is>
      </c>
      <c r="D149" s="46" t="n">
        <v>1</v>
      </c>
      <c r="E149" s="78" t="n">
        <v>217210</v>
      </c>
      <c r="F149" s="46" t="inlineStr">
        <is>
          <t>0.1%</t>
        </is>
      </c>
      <c r="G149" s="47" t="inlineStr">
        <is>
          <t>LED Streetlight</t>
        </is>
      </c>
      <c r="H149" s="46" t="inlineStr">
        <is>
          <t>2026-01</t>
        </is>
      </c>
      <c r="I149" s="46" t="inlineStr">
        <is>
          <t>PL609</t>
        </is>
      </c>
      <c r="J149" s="46" t="inlineStr">
        <is>
          <t>D - รอผล</t>
        </is>
      </c>
      <c r="K149" s="46" t="inlineStr">
        <is>
          <t>—</t>
        </is>
      </c>
      <c r="L149" s="47" t="inlineStr">
        <is>
          <t>⚪ รอสอบถาม</t>
        </is>
      </c>
    </row>
    <row r="150" ht="14" customHeight="1">
      <c r="A150" s="46" t="n">
        <v>147</v>
      </c>
      <c r="B150" s="47" t="inlineStr">
        <is>
          <t>ป.ธีรวุฒิ</t>
        </is>
      </c>
      <c r="C150" s="46" t="inlineStr">
        <is>
          <t>B2B อื่นๆ</t>
        </is>
      </c>
      <c r="D150" s="46" t="n">
        <v>1</v>
      </c>
      <c r="E150" s="78" t="n">
        <v>212446.36</v>
      </c>
      <c r="F150" s="46" t="inlineStr">
        <is>
          <t>0.1%</t>
        </is>
      </c>
      <c r="G150" s="47" t="inlineStr">
        <is>
          <t>High Mast</t>
        </is>
      </c>
      <c r="H150" s="46" t="inlineStr">
        <is>
          <t>2026-03</t>
        </is>
      </c>
      <c r="I150" s="46" t="inlineStr">
        <is>
          <t>PL773</t>
        </is>
      </c>
      <c r="J150" s="46" t="inlineStr">
        <is>
          <t>D - รอผล</t>
        </is>
      </c>
      <c r="K150" s="46" t="inlineStr">
        <is>
          <t>—</t>
        </is>
      </c>
      <c r="L150" s="47" t="inlineStr">
        <is>
          <t>⚪ รอสอบถาม</t>
        </is>
      </c>
    </row>
    <row r="151" ht="14" customHeight="1">
      <c r="A151" s="46" t="n">
        <v>148</v>
      </c>
      <c r="B151" s="47" t="inlineStr">
        <is>
          <t>ไลท์ติ้ง โซลูชั่น</t>
        </is>
      </c>
      <c r="C151" s="46" t="inlineStr">
        <is>
          <t>B2B อื่นๆ</t>
        </is>
      </c>
      <c r="D151" s="46" t="n">
        <v>2</v>
      </c>
      <c r="E151" s="78" t="n">
        <v>207788.05</v>
      </c>
      <c r="F151" s="46" t="inlineStr">
        <is>
          <t>0.1%</t>
        </is>
      </c>
      <c r="G151" s="47" t="inlineStr">
        <is>
          <t>เสาไฟถนน</t>
        </is>
      </c>
      <c r="H151" s="46" t="inlineStr">
        <is>
          <t>2026-01</t>
        </is>
      </c>
      <c r="I151" s="46" t="inlineStr">
        <is>
          <t>PL635</t>
        </is>
      </c>
      <c r="J151" s="46" t="inlineStr">
        <is>
          <t>D - รอผล</t>
        </is>
      </c>
      <c r="K151" s="46" t="inlineStr">
        <is>
          <t>—</t>
        </is>
      </c>
      <c r="L151" s="47" t="inlineStr">
        <is>
          <t>⚪ รอสอบถาม</t>
        </is>
      </c>
    </row>
    <row r="152" ht="14" customHeight="1">
      <c r="A152" s="46" t="n">
        <v>149</v>
      </c>
      <c r="B152" s="47" t="inlineStr">
        <is>
          <t>บริษัท เบสท์-แพค คอนกรีต จำกัด -Dearler</t>
        </is>
      </c>
      <c r="C152" s="46" t="inlineStr">
        <is>
          <t>B2B บริษัท</t>
        </is>
      </c>
      <c r="D152" s="46" t="n">
        <v>1</v>
      </c>
      <c r="E152" s="78" t="n">
        <v>207045</v>
      </c>
      <c r="F152" s="46" t="inlineStr">
        <is>
          <t>0.1%</t>
        </is>
      </c>
      <c r="G152" s="47" t="inlineStr">
        <is>
          <t>อื่นๆ</t>
        </is>
      </c>
      <c r="H152" s="46" t="inlineStr">
        <is>
          <t>2026-03</t>
        </is>
      </c>
      <c r="I152" s="46" t="inlineStr">
        <is>
          <t>PL759</t>
        </is>
      </c>
      <c r="J152" s="46" t="inlineStr">
        <is>
          <t>D - รอผล</t>
        </is>
      </c>
      <c r="K152" s="46" t="inlineStr">
        <is>
          <t>—</t>
        </is>
      </c>
      <c r="L152" s="47" t="inlineStr">
        <is>
          <t>⚪ รอสอบถาม</t>
        </is>
      </c>
    </row>
    <row r="153" ht="14" customHeight="1">
      <c r="A153" s="46" t="n">
        <v>150</v>
      </c>
      <c r="B153" s="47" t="inlineStr">
        <is>
          <t>ZETA-9 Cloud / บริษัท คาแนล วัน จำกัด</t>
        </is>
      </c>
      <c r="C153" s="46" t="inlineStr">
        <is>
          <t>B2B อื่นๆ</t>
        </is>
      </c>
      <c r="D153" s="46" t="n">
        <v>1</v>
      </c>
      <c r="E153" s="78" t="n">
        <v>206563.5</v>
      </c>
      <c r="F153" s="46" t="inlineStr">
        <is>
          <t>0.1%</t>
        </is>
      </c>
      <c r="G153" s="47" t="inlineStr">
        <is>
          <t>อื่นๆ</t>
        </is>
      </c>
      <c r="H153" s="46" t="inlineStr">
        <is>
          <t>2026-05</t>
        </is>
      </c>
      <c r="I153" s="46" t="inlineStr">
        <is>
          <t>PL911</t>
        </is>
      </c>
      <c r="J153" s="46" t="inlineStr">
        <is>
          <t>D - รอผล</t>
        </is>
      </c>
      <c r="K153" s="46" t="inlineStr">
        <is>
          <t>ZETA-iOT</t>
        </is>
      </c>
      <c r="L153" s="47" t="inlineStr">
        <is>
          <t>⚪ รอสอบถาม</t>
        </is>
      </c>
    </row>
    <row r="154" ht="14" customHeight="1">
      <c r="A154" s="46" t="n">
        <v>151</v>
      </c>
      <c r="B154" s="47" t="inlineStr">
        <is>
          <t>โปรทูสเปรช</t>
        </is>
      </c>
      <c r="C154" s="46" t="inlineStr">
        <is>
          <t>B2B อื่นๆ</t>
        </is>
      </c>
      <c r="D154" s="46" t="n">
        <v>1</v>
      </c>
      <c r="E154" s="78" t="n">
        <v>205315.88</v>
      </c>
      <c r="F154" s="46" t="inlineStr">
        <is>
          <t>0.1%</t>
        </is>
      </c>
      <c r="G154" s="47" t="inlineStr">
        <is>
          <t>เสาไฟถนน</t>
        </is>
      </c>
      <c r="H154" s="46" t="inlineStr">
        <is>
          <t>2026-01</t>
        </is>
      </c>
      <c r="I154" s="46" t="inlineStr">
        <is>
          <t>PL614</t>
        </is>
      </c>
      <c r="J154" s="46" t="inlineStr">
        <is>
          <t>D - รอผล</t>
        </is>
      </c>
      <c r="K154" s="46" t="inlineStr">
        <is>
          <t>—</t>
        </is>
      </c>
      <c r="L154" s="47" t="inlineStr">
        <is>
          <t>⚪ รอสอบถาม</t>
        </is>
      </c>
    </row>
    <row r="155" ht="14" customHeight="1">
      <c r="A155" s="46" t="n">
        <v>152</v>
      </c>
      <c r="B155" s="47" t="inlineStr">
        <is>
          <t>ฐกฤต ดีเวลลอปเม้นท์</t>
        </is>
      </c>
      <c r="C155" s="46" t="inlineStr">
        <is>
          <t>B2B อื่นๆ</t>
        </is>
      </c>
      <c r="D155" s="46" t="n">
        <v>1</v>
      </c>
      <c r="E155" s="78" t="n">
        <v>204057.56</v>
      </c>
      <c r="F155" s="46" t="inlineStr">
        <is>
          <t>0.1%</t>
        </is>
      </c>
      <c r="G155" s="47" t="inlineStr">
        <is>
          <t>LED Highbay</t>
        </is>
      </c>
      <c r="H155" s="46" t="inlineStr">
        <is>
          <t>2026-01</t>
        </is>
      </c>
      <c r="I155" s="46" t="inlineStr">
        <is>
          <t>PL677</t>
        </is>
      </c>
      <c r="J155" s="46" t="inlineStr">
        <is>
          <t>D - รอผล</t>
        </is>
      </c>
      <c r="K155" s="46" t="inlineStr">
        <is>
          <t>—</t>
        </is>
      </c>
      <c r="L155" s="47" t="inlineStr">
        <is>
          <t>⚪ รอสอบถาม</t>
        </is>
      </c>
    </row>
    <row r="156" ht="14" customHeight="1">
      <c r="A156" s="46" t="n">
        <v>153</v>
      </c>
      <c r="B156" s="47" t="inlineStr">
        <is>
          <t>นพพร สุมงคล  2.5</t>
        </is>
      </c>
      <c r="C156" s="46" t="inlineStr">
        <is>
          <t>B2B อื่นๆ</t>
        </is>
      </c>
      <c r="D156" s="46" t="n">
        <v>1</v>
      </c>
      <c r="E156" s="78" t="n">
        <v>204034.49</v>
      </c>
      <c r="F156" s="46" t="inlineStr">
        <is>
          <t>0.1%</t>
        </is>
      </c>
      <c r="G156" s="47" t="inlineStr">
        <is>
          <t>Guard Rail / การ์ดเรล</t>
        </is>
      </c>
      <c r="H156" s="46" t="inlineStr">
        <is>
          <t>2026-05</t>
        </is>
      </c>
      <c r="I156" s="46" t="inlineStr">
        <is>
          <t>PL865</t>
        </is>
      </c>
      <c r="J156" s="46" t="inlineStr">
        <is>
          <t>D - รอผล</t>
        </is>
      </c>
      <c r="K156" s="46" t="inlineStr">
        <is>
          <t>—</t>
        </is>
      </c>
      <c r="L156" s="47" t="inlineStr">
        <is>
          <t>⚪ รอสอบถาม</t>
        </is>
      </c>
    </row>
    <row r="157" ht="14" customHeight="1">
      <c r="A157" s="46" t="n">
        <v>154</v>
      </c>
      <c r="B157" s="47" t="inlineStr">
        <is>
          <t>สุชาบดี</t>
        </is>
      </c>
      <c r="C157" s="46" t="inlineStr">
        <is>
          <t>B2B อื่นๆ</t>
        </is>
      </c>
      <c r="D157" s="46" t="n">
        <v>1</v>
      </c>
      <c r="E157" s="78" t="n">
        <v>197335.93</v>
      </c>
      <c r="F157" s="46" t="inlineStr">
        <is>
          <t>0.1%</t>
        </is>
      </c>
      <c r="G157" s="47" t="inlineStr">
        <is>
          <t>อื่นๆ</t>
        </is>
      </c>
      <c r="H157" s="46" t="inlineStr">
        <is>
          <t>2026-02</t>
        </is>
      </c>
      <c r="I157" s="46" t="inlineStr">
        <is>
          <t>PL732</t>
        </is>
      </c>
      <c r="J157" s="46" t="inlineStr">
        <is>
          <t>D - รอผล</t>
        </is>
      </c>
      <c r="K157" s="46" t="inlineStr">
        <is>
          <t>—</t>
        </is>
      </c>
      <c r="L157" s="47" t="inlineStr">
        <is>
          <t>⚪ รอสอบถาม</t>
        </is>
      </c>
    </row>
    <row r="158" ht="14" customHeight="1">
      <c r="A158" s="46" t="n">
        <v>155</v>
      </c>
      <c r="B158" s="47" t="inlineStr">
        <is>
          <t>พรุดินนา ดีไซน์</t>
        </is>
      </c>
      <c r="C158" s="46" t="inlineStr">
        <is>
          <t>B2B อื่นๆ</t>
        </is>
      </c>
      <c r="D158" s="46" t="n">
        <v>1</v>
      </c>
      <c r="E158" s="78" t="n">
        <v>194800.34</v>
      </c>
      <c r="F158" s="46" t="inlineStr">
        <is>
          <t>0.1%</t>
        </is>
      </c>
      <c r="G158" s="47" t="inlineStr">
        <is>
          <t>Guard Rail / การ์ดเรล</t>
        </is>
      </c>
      <c r="H158" s="46" t="inlineStr">
        <is>
          <t>2026-06</t>
        </is>
      </c>
      <c r="I158" s="46" t="inlineStr">
        <is>
          <t>PL922</t>
        </is>
      </c>
      <c r="J158" s="46" t="inlineStr">
        <is>
          <t>D - รอผล</t>
        </is>
      </c>
      <c r="K158" s="46" t="inlineStr">
        <is>
          <t>—</t>
        </is>
      </c>
      <c r="L158" s="47" t="inlineStr">
        <is>
          <t>⚪ รอสอบถาม</t>
        </is>
      </c>
    </row>
    <row r="159" ht="14" customHeight="1">
      <c r="A159" s="46" t="n">
        <v>156</v>
      </c>
      <c r="B159" s="47" t="inlineStr">
        <is>
          <t>ขนมชมพู</t>
        </is>
      </c>
      <c r="C159" s="46" t="inlineStr">
        <is>
          <t>B2B อื่นๆ</t>
        </is>
      </c>
      <c r="D159" s="46" t="n">
        <v>1</v>
      </c>
      <c r="E159" s="78" t="n">
        <v>192418.1</v>
      </c>
      <c r="F159" s="46" t="inlineStr">
        <is>
          <t>0.1%</t>
        </is>
      </c>
      <c r="G159" s="47" t="inlineStr">
        <is>
          <t>High Mast</t>
        </is>
      </c>
      <c r="H159" s="46" t="inlineStr">
        <is>
          <t>2026-03</t>
        </is>
      </c>
      <c r="I159" s="46" t="inlineStr">
        <is>
          <t>PL778</t>
        </is>
      </c>
      <c r="J159" s="46" t="inlineStr">
        <is>
          <t>D - รอผล</t>
        </is>
      </c>
      <c r="K159" s="46" t="inlineStr">
        <is>
          <t>—</t>
        </is>
      </c>
      <c r="L159" s="47" t="inlineStr">
        <is>
          <t>⚪ รอสอบถาม</t>
        </is>
      </c>
    </row>
    <row r="160" ht="14" customHeight="1">
      <c r="A160" s="46" t="n">
        <v>157</v>
      </c>
      <c r="B160" s="47" t="inlineStr">
        <is>
          <t>วิภาสกฤต บำรุงพืช</t>
        </is>
      </c>
      <c r="C160" s="46" t="inlineStr">
        <is>
          <t>B2B อื่นๆ</t>
        </is>
      </c>
      <c r="D160" s="46" t="n">
        <v>1</v>
      </c>
      <c r="E160" s="78" t="n">
        <v>191130.42</v>
      </c>
      <c r="F160" s="46" t="inlineStr">
        <is>
          <t>0.1%</t>
        </is>
      </c>
      <c r="G160" s="47" t="inlineStr">
        <is>
          <t>Guard Rail / การ์ดเรล</t>
        </is>
      </c>
      <c r="H160" s="46" t="inlineStr">
        <is>
          <t>2026-05</t>
        </is>
      </c>
      <c r="I160" s="46" t="inlineStr">
        <is>
          <t>PL879</t>
        </is>
      </c>
      <c r="J160" s="46" t="inlineStr">
        <is>
          <t>D - รอผล</t>
        </is>
      </c>
      <c r="K160" s="46" t="inlineStr">
        <is>
          <t>—</t>
        </is>
      </c>
      <c r="L160" s="47" t="inlineStr">
        <is>
          <t>⚪ รอสอบถาม</t>
        </is>
      </c>
    </row>
    <row r="161" ht="14" customHeight="1">
      <c r="A161" s="46" t="n">
        <v>158</v>
      </c>
      <c r="B161" s="47" t="inlineStr">
        <is>
          <t>ป.ประสงค์ทรัพย์</t>
        </is>
      </c>
      <c r="C161" s="46" t="inlineStr">
        <is>
          <t>B2B อื่นๆ</t>
        </is>
      </c>
      <c r="D161" s="46" t="n">
        <v>1</v>
      </c>
      <c r="E161" s="78" t="n">
        <v>190320.9</v>
      </c>
      <c r="F161" s="46" t="inlineStr">
        <is>
          <t>0.1%</t>
        </is>
      </c>
      <c r="G161" s="47" t="inlineStr">
        <is>
          <t>High Mast</t>
        </is>
      </c>
      <c r="H161" s="46" t="inlineStr">
        <is>
          <t>2026-02</t>
        </is>
      </c>
      <c r="I161" s="46" t="inlineStr">
        <is>
          <t>PL703</t>
        </is>
      </c>
      <c r="J161" s="46" t="inlineStr">
        <is>
          <t>D - รอผล</t>
        </is>
      </c>
      <c r="K161" s="46" t="inlineStr">
        <is>
          <t>—</t>
        </is>
      </c>
      <c r="L161" s="47" t="inlineStr">
        <is>
          <t>⚪ รอสอบถาม</t>
        </is>
      </c>
    </row>
    <row r="162" ht="14" customHeight="1">
      <c r="A162" s="46" t="n">
        <v>159</v>
      </c>
      <c r="B162" s="47" t="inlineStr">
        <is>
          <t>ทูซิส ซัพพลาย</t>
        </is>
      </c>
      <c r="C162" s="46" t="inlineStr">
        <is>
          <t>B2B อื่นๆ</t>
        </is>
      </c>
      <c r="D162" s="46" t="n">
        <v>1</v>
      </c>
      <c r="E162" s="78" t="n">
        <v>189333.12</v>
      </c>
      <c r="F162" s="46" t="inlineStr">
        <is>
          <t>0.1%</t>
        </is>
      </c>
      <c r="G162" s="47" t="inlineStr">
        <is>
          <t>Guard Rail / การ์ดเรล</t>
        </is>
      </c>
      <c r="H162" s="46" t="inlineStr">
        <is>
          <t>2026-05</t>
        </is>
      </c>
      <c r="I162" s="46" t="inlineStr">
        <is>
          <t>PL903</t>
        </is>
      </c>
      <c r="J162" s="46" t="inlineStr">
        <is>
          <t>D - รอผล</t>
        </is>
      </c>
      <c r="K162" s="46" t="inlineStr">
        <is>
          <t>—</t>
        </is>
      </c>
      <c r="L162" s="47" t="inlineStr">
        <is>
          <t>⚪ รอสอบถาม</t>
        </is>
      </c>
    </row>
    <row r="163" ht="14" customHeight="1">
      <c r="A163" s="46" t="n">
        <v>160</v>
      </c>
      <c r="B163" s="47" t="inlineStr">
        <is>
          <t>หจก  อนุรักษ์วิศวกรรม2508</t>
        </is>
      </c>
      <c r="C163" s="46" t="inlineStr">
        <is>
          <t>B2B หจก.</t>
        </is>
      </c>
      <c r="D163" s="46" t="n">
        <v>1</v>
      </c>
      <c r="E163" s="78" t="n">
        <v>188463.96</v>
      </c>
      <c r="F163" s="46" t="inlineStr">
        <is>
          <t>0.1%</t>
        </is>
      </c>
      <c r="G163" s="47" t="inlineStr">
        <is>
          <t>อื่นๆ</t>
        </is>
      </c>
      <c r="H163" s="46" t="inlineStr">
        <is>
          <t>2026-06</t>
        </is>
      </c>
      <c r="I163" s="46" t="inlineStr">
        <is>
          <t>PL925</t>
        </is>
      </c>
      <c r="J163" s="46" t="inlineStr">
        <is>
          <t>D - รอผล</t>
        </is>
      </c>
      <c r="K163" s="46" t="inlineStr">
        <is>
          <t>—</t>
        </is>
      </c>
      <c r="L163" s="47" t="inlineStr">
        <is>
          <t>⚪ รอสอบถาม</t>
        </is>
      </c>
    </row>
    <row r="164" ht="14" customHeight="1">
      <c r="A164" s="46" t="n">
        <v>161</v>
      </c>
      <c r="B164" s="47" t="inlineStr">
        <is>
          <t>บ.ไทยรุ่งเรืองอุตสาหกรรม ไฮแมส</t>
        </is>
      </c>
      <c r="C164" s="46" t="inlineStr">
        <is>
          <t>B2B อื่นๆ</t>
        </is>
      </c>
      <c r="D164" s="46" t="n">
        <v>1</v>
      </c>
      <c r="E164" s="78" t="n">
        <v>181722.38</v>
      </c>
      <c r="F164" s="46" t="inlineStr">
        <is>
          <t>0.1%</t>
        </is>
      </c>
      <c r="G164" s="47" t="inlineStr">
        <is>
          <t>High Mast</t>
        </is>
      </c>
      <c r="H164" s="46" t="inlineStr">
        <is>
          <t>2026-03</t>
        </is>
      </c>
      <c r="I164" s="46" t="inlineStr">
        <is>
          <t>PL764</t>
        </is>
      </c>
      <c r="J164" s="46" t="inlineStr">
        <is>
          <t>D - รอผล</t>
        </is>
      </c>
      <c r="K164" s="46" t="inlineStr">
        <is>
          <t>—</t>
        </is>
      </c>
      <c r="L164" s="47" t="inlineStr">
        <is>
          <t>⚪ รอสอบถาม</t>
        </is>
      </c>
    </row>
    <row r="165" ht="14" customHeight="1">
      <c r="A165" s="46" t="n">
        <v>162</v>
      </c>
      <c r="B165" s="47" t="inlineStr">
        <is>
          <t>หจก.  ไทยสวงนอุทุมพรก่อสร้าง</t>
        </is>
      </c>
      <c r="C165" s="46" t="inlineStr">
        <is>
          <t>B2B หจก.</t>
        </is>
      </c>
      <c r="D165" s="46" t="n">
        <v>1</v>
      </c>
      <c r="E165" s="78" t="n">
        <v>180830</v>
      </c>
      <c r="F165" s="46" t="inlineStr">
        <is>
          <t>0.1%</t>
        </is>
      </c>
      <c r="G165" s="47" t="inlineStr">
        <is>
          <t>เสาไฟถนน</t>
        </is>
      </c>
      <c r="H165" s="46" t="inlineStr">
        <is>
          <t>2026-05</t>
        </is>
      </c>
      <c r="I165" s="46" t="inlineStr">
        <is>
          <t>PL870</t>
        </is>
      </c>
      <c r="J165" s="46" t="inlineStr">
        <is>
          <t>D - รอผล</t>
        </is>
      </c>
      <c r="K165" s="46" t="inlineStr">
        <is>
          <t>—</t>
        </is>
      </c>
      <c r="L165" s="47" t="inlineStr">
        <is>
          <t>⚪ รอสอบถาม</t>
        </is>
      </c>
    </row>
    <row r="166" ht="14" customHeight="1">
      <c r="A166" s="46" t="n">
        <v>163</v>
      </c>
      <c r="B166" s="47" t="inlineStr">
        <is>
          <t>PT บริษัท อาร์เอช เท็คท์ แอสโซบิลด์ จำกัด</t>
        </is>
      </c>
      <c r="C166" s="46" t="inlineStr">
        <is>
          <t>B2B บริษัท</t>
        </is>
      </c>
      <c r="D166" s="46" t="n">
        <v>1</v>
      </c>
      <c r="E166" s="78" t="n">
        <v>177834</v>
      </c>
      <c r="F166" s="46" t="inlineStr">
        <is>
          <t>0.1%</t>
        </is>
      </c>
      <c r="G166" s="47" t="inlineStr">
        <is>
          <t>LED Streetlight</t>
        </is>
      </c>
      <c r="H166" s="46" t="inlineStr">
        <is>
          <t>2026-02</t>
        </is>
      </c>
      <c r="I166" s="46" t="inlineStr">
        <is>
          <t>PL706</t>
        </is>
      </c>
      <c r="J166" s="46" t="inlineStr">
        <is>
          <t>D - รอผล</t>
        </is>
      </c>
      <c r="K166" s="46" t="inlineStr">
        <is>
          <t>—</t>
        </is>
      </c>
      <c r="L166" s="47" t="inlineStr">
        <is>
          <t>⚪ รอสอบถาม</t>
        </is>
      </c>
    </row>
    <row r="167" ht="14" customHeight="1">
      <c r="A167" s="46" t="n">
        <v>164</v>
      </c>
      <c r="B167" s="47" t="inlineStr">
        <is>
          <t>บ.เอสอีซีที</t>
        </is>
      </c>
      <c r="C167" s="46" t="inlineStr">
        <is>
          <t>B2B อื่นๆ</t>
        </is>
      </c>
      <c r="D167" s="46" t="n">
        <v>1</v>
      </c>
      <c r="E167" s="78" t="n">
        <v>166727.4</v>
      </c>
      <c r="F167" s="46" t="inlineStr">
        <is>
          <t>0.1%</t>
        </is>
      </c>
      <c r="G167" s="47" t="inlineStr">
        <is>
          <t>เสาไฟถนน</t>
        </is>
      </c>
      <c r="H167" s="46" t="inlineStr">
        <is>
          <t>2026-02</t>
        </is>
      </c>
      <c r="I167" s="46" t="inlineStr">
        <is>
          <t>PL710</t>
        </is>
      </c>
      <c r="J167" s="46" t="inlineStr">
        <is>
          <t>D - รอผล</t>
        </is>
      </c>
      <c r="K167" s="46" t="inlineStr">
        <is>
          <t>—</t>
        </is>
      </c>
      <c r="L167" s="47" t="inlineStr">
        <is>
          <t>⚪ รอสอบถาม</t>
        </is>
      </c>
    </row>
    <row r="168" ht="14" customHeight="1">
      <c r="A168" s="46" t="n">
        <v>165</v>
      </c>
      <c r="B168" s="47" t="inlineStr">
        <is>
          <t>หจก.ธรรมรงรักษ์ เทรดดิ้ง</t>
        </is>
      </c>
      <c r="C168" s="46" t="inlineStr">
        <is>
          <t>B2B หจก.</t>
        </is>
      </c>
      <c r="D168" s="46" t="n">
        <v>1</v>
      </c>
      <c r="E168" s="78" t="n">
        <v>163579.5</v>
      </c>
      <c r="F168" s="46" t="inlineStr">
        <is>
          <t>0.1%</t>
        </is>
      </c>
      <c r="G168" s="47" t="inlineStr">
        <is>
          <t>Guard Rail / การ์ดเรล</t>
        </is>
      </c>
      <c r="H168" s="46" t="inlineStr">
        <is>
          <t>2026-03</t>
        </is>
      </c>
      <c r="I168" s="46" t="inlineStr">
        <is>
          <t>PL757</t>
        </is>
      </c>
      <c r="J168" s="46" t="inlineStr">
        <is>
          <t>D - รอผล</t>
        </is>
      </c>
      <c r="K168" s="46" t="inlineStr">
        <is>
          <t>—</t>
        </is>
      </c>
      <c r="L168" s="47" t="inlineStr">
        <is>
          <t>⚪ รอสอบถาม</t>
        </is>
      </c>
    </row>
    <row r="169" ht="14" customHeight="1">
      <c r="A169" s="46" t="n">
        <v>166</v>
      </c>
      <c r="B169" s="47" t="inlineStr">
        <is>
          <t>เอสทีจี</t>
        </is>
      </c>
      <c r="C169" s="46" t="inlineStr">
        <is>
          <t>B2B อื่นๆ</t>
        </is>
      </c>
      <c r="D169" s="46" t="n">
        <v>1</v>
      </c>
      <c r="E169" s="78" t="n">
        <v>162627.37</v>
      </c>
      <c r="F169" s="46" t="inlineStr">
        <is>
          <t>0.1%</t>
        </is>
      </c>
      <c r="G169" s="47" t="inlineStr">
        <is>
          <t>เสาไฟถนน</t>
        </is>
      </c>
      <c r="H169" s="46" t="inlineStr">
        <is>
          <t>2026-04</t>
        </is>
      </c>
      <c r="I169" s="46" t="inlineStr">
        <is>
          <t>PL798</t>
        </is>
      </c>
      <c r="J169" s="46" t="inlineStr">
        <is>
          <t>D - รอผล</t>
        </is>
      </c>
      <c r="K169" s="46" t="inlineStr">
        <is>
          <t>—</t>
        </is>
      </c>
      <c r="L169" s="47" t="inlineStr">
        <is>
          <t>⚪ รอสอบถาม</t>
        </is>
      </c>
    </row>
    <row r="170" ht="14" customHeight="1">
      <c r="A170" s="46" t="n">
        <v>167</v>
      </c>
      <c r="B170" s="47" t="inlineStr">
        <is>
          <t>เอเอ็มพี โซลูชั่นส์ ครอป</t>
        </is>
      </c>
      <c r="C170" s="46" t="inlineStr">
        <is>
          <t>B2B อื่นๆ</t>
        </is>
      </c>
      <c r="D170" s="46" t="n">
        <v>1</v>
      </c>
      <c r="E170" s="78" t="n">
        <v>158786.89</v>
      </c>
      <c r="F170" s="46" t="inlineStr">
        <is>
          <t>0.1%</t>
        </is>
      </c>
      <c r="G170" s="47" t="inlineStr">
        <is>
          <t>High Mast</t>
        </is>
      </c>
      <c r="H170" s="46" t="inlineStr">
        <is>
          <t>2026-06</t>
        </is>
      </c>
      <c r="I170" s="46" t="inlineStr">
        <is>
          <t>PL918</t>
        </is>
      </c>
      <c r="J170" s="46" t="inlineStr">
        <is>
          <t>D - รอผล</t>
        </is>
      </c>
      <c r="K170" s="46" t="inlineStr">
        <is>
          <t>—</t>
        </is>
      </c>
      <c r="L170" s="47" t="inlineStr">
        <is>
          <t>⚪ รอสอบถาม</t>
        </is>
      </c>
    </row>
    <row r="171" ht="14" customHeight="1">
      <c r="A171" s="46" t="n">
        <v>168</v>
      </c>
      <c r="B171" s="47" t="inlineStr">
        <is>
          <t>ไอ.ที.บอร์ด จำกัด</t>
        </is>
      </c>
      <c r="C171" s="46" t="inlineStr">
        <is>
          <t>B2B บริษัท</t>
        </is>
      </c>
      <c r="D171" s="46" t="n">
        <v>1</v>
      </c>
      <c r="E171" s="78" t="n">
        <v>158653.18</v>
      </c>
      <c r="F171" s="46" t="inlineStr">
        <is>
          <t>0.1%</t>
        </is>
      </c>
      <c r="G171" s="47" t="inlineStr">
        <is>
          <t>อื่นๆ</t>
        </is>
      </c>
      <c r="H171" s="46" t="inlineStr">
        <is>
          <t>2026-06</t>
        </is>
      </c>
      <c r="I171" s="46" t="inlineStr">
        <is>
          <t>PL921</t>
        </is>
      </c>
      <c r="J171" s="46" t="inlineStr">
        <is>
          <t>D - รอผล</t>
        </is>
      </c>
      <c r="K171" s="46" t="inlineStr">
        <is>
          <t>—</t>
        </is>
      </c>
      <c r="L171" s="47" t="inlineStr">
        <is>
          <t>⚪ รอสอบถาม</t>
        </is>
      </c>
    </row>
    <row r="172" ht="14" customHeight="1">
      <c r="A172" s="46" t="n">
        <v>169</v>
      </c>
      <c r="B172" s="47" t="inlineStr">
        <is>
          <t>ภควัต</t>
        </is>
      </c>
      <c r="C172" s="46" t="inlineStr">
        <is>
          <t>B2B อื่นๆ</t>
        </is>
      </c>
      <c r="D172" s="46" t="n">
        <v>1</v>
      </c>
      <c r="E172" s="78" t="n">
        <v>158024.02</v>
      </c>
      <c r="F172" s="46" t="inlineStr">
        <is>
          <t>0.1%</t>
        </is>
      </c>
      <c r="G172" s="47" t="inlineStr">
        <is>
          <t>เสาไฟถนน</t>
        </is>
      </c>
      <c r="H172" s="46" t="inlineStr">
        <is>
          <t>2026-02</t>
        </is>
      </c>
      <c r="I172" s="46" t="inlineStr">
        <is>
          <t>PL700</t>
        </is>
      </c>
      <c r="J172" s="46" t="inlineStr">
        <is>
          <t>D - รอผล</t>
        </is>
      </c>
      <c r="K172" s="46" t="inlineStr">
        <is>
          <t>—</t>
        </is>
      </c>
      <c r="L172" s="47" t="inlineStr">
        <is>
          <t>⚪ รอสอบถาม</t>
        </is>
      </c>
    </row>
    <row r="173" ht="14" customHeight="1">
      <c r="A173" s="46" t="n">
        <v>170</v>
      </c>
      <c r="B173" s="47" t="inlineStr">
        <is>
          <t>เอส พีวัน กรุ๊ป</t>
        </is>
      </c>
      <c r="C173" s="46" t="inlineStr">
        <is>
          <t>B2B อื่นๆ</t>
        </is>
      </c>
      <c r="D173" s="46" t="n">
        <v>1</v>
      </c>
      <c r="E173" s="78" t="n">
        <v>156136.54</v>
      </c>
      <c r="F173" s="46" t="inlineStr">
        <is>
          <t>0.1%</t>
        </is>
      </c>
      <c r="G173" s="47" t="inlineStr">
        <is>
          <t>เสาไฟถนน</t>
        </is>
      </c>
      <c r="H173" s="46" t="inlineStr">
        <is>
          <t>2026-01</t>
        </is>
      </c>
      <c r="I173" s="46" t="inlineStr">
        <is>
          <t>PL655</t>
        </is>
      </c>
      <c r="J173" s="46" t="inlineStr">
        <is>
          <t>D - รอผล</t>
        </is>
      </c>
      <c r="K173" s="46" t="inlineStr">
        <is>
          <t>—</t>
        </is>
      </c>
      <c r="L173" s="47" t="inlineStr">
        <is>
          <t>⚪ รอสอบถาม</t>
        </is>
      </c>
    </row>
    <row r="174" ht="14" customHeight="1">
      <c r="A174" s="46" t="n">
        <v>171</v>
      </c>
      <c r="B174" s="47" t="inlineStr">
        <is>
          <t>ดำรงกุลการโยธา</t>
        </is>
      </c>
      <c r="C174" s="46" t="inlineStr">
        <is>
          <t>B2B อื่นๆ</t>
        </is>
      </c>
      <c r="D174" s="46" t="n">
        <v>1</v>
      </c>
      <c r="E174" s="78" t="n">
        <v>152151.86</v>
      </c>
      <c r="F174" s="46" t="inlineStr">
        <is>
          <t>0.1%</t>
        </is>
      </c>
      <c r="G174" s="47" t="inlineStr">
        <is>
          <t>High Mast</t>
        </is>
      </c>
      <c r="H174" s="46" t="inlineStr">
        <is>
          <t>2026-03</t>
        </is>
      </c>
      <c r="I174" s="46" t="inlineStr">
        <is>
          <t>PL775</t>
        </is>
      </c>
      <c r="J174" s="46" t="inlineStr">
        <is>
          <t>D - รอผล</t>
        </is>
      </c>
      <c r="K174" s="46" t="inlineStr">
        <is>
          <t>—</t>
        </is>
      </c>
      <c r="L174" s="47" t="inlineStr">
        <is>
          <t>⚪ รอสอบถาม</t>
        </is>
      </c>
    </row>
    <row r="175" ht="14" customHeight="1">
      <c r="A175" s="46" t="n">
        <v>172</v>
      </c>
      <c r="B175" s="47" t="inlineStr">
        <is>
          <t>R00  บริษัท สุเบญจา จำกัด</t>
        </is>
      </c>
      <c r="C175" s="46" t="inlineStr">
        <is>
          <t>B2B บริษัท</t>
        </is>
      </c>
      <c r="D175" s="46" t="n">
        <v>1</v>
      </c>
      <c r="E175" s="78" t="n">
        <v>150780.92</v>
      </c>
      <c r="F175" s="46" t="inlineStr">
        <is>
          <t>0.1%</t>
        </is>
      </c>
      <c r="G175" s="47" t="inlineStr">
        <is>
          <t>เสาไฟถนน</t>
        </is>
      </c>
      <c r="H175" s="46" t="inlineStr">
        <is>
          <t>2026-03</t>
        </is>
      </c>
      <c r="I175" s="46" t="inlineStr">
        <is>
          <t>PL769</t>
        </is>
      </c>
      <c r="J175" s="46" t="inlineStr">
        <is>
          <t>D - รอผล</t>
        </is>
      </c>
      <c r="K175" s="46" t="inlineStr">
        <is>
          <t>—</t>
        </is>
      </c>
      <c r="L175" s="47" t="inlineStr">
        <is>
          <t>⚪ รอสอบถาม</t>
        </is>
      </c>
    </row>
    <row r="176" ht="14" customHeight="1">
      <c r="A176" s="46" t="n">
        <v>173</v>
      </c>
      <c r="B176" s="47" t="inlineStr">
        <is>
          <t>นายกเทศบาลนครขอนแก่น</t>
        </is>
      </c>
      <c r="C176" s="46" t="inlineStr">
        <is>
          <t>B2G อปท.</t>
        </is>
      </c>
      <c r="D176" s="46" t="n">
        <v>1</v>
      </c>
      <c r="E176" s="78" t="n">
        <v>148880.23</v>
      </c>
      <c r="F176" s="46" t="inlineStr">
        <is>
          <t>0.1%</t>
        </is>
      </c>
      <c r="G176" s="47" t="inlineStr">
        <is>
          <t>High Mast</t>
        </is>
      </c>
      <c r="H176" s="46" t="inlineStr">
        <is>
          <t>2026-02</t>
        </is>
      </c>
      <c r="I176" s="46" t="inlineStr">
        <is>
          <t>PL711</t>
        </is>
      </c>
      <c r="J176" s="46" t="inlineStr">
        <is>
          <t>D - รอผล</t>
        </is>
      </c>
      <c r="K176" s="46" t="inlineStr">
        <is>
          <t>—</t>
        </is>
      </c>
      <c r="L176" s="47" t="inlineStr">
        <is>
          <t>⚪ รอสอบถาม</t>
        </is>
      </c>
    </row>
    <row r="177" ht="14" customHeight="1">
      <c r="A177" s="46" t="n">
        <v>174</v>
      </c>
      <c r="B177" s="47" t="inlineStr">
        <is>
          <t>สราญใจ พริ้ตติ้ง</t>
        </is>
      </c>
      <c r="C177" s="46" t="inlineStr">
        <is>
          <t>B2B อื่นๆ</t>
        </is>
      </c>
      <c r="D177" s="46" t="n">
        <v>1</v>
      </c>
      <c r="E177" s="78" t="n">
        <v>144455.14</v>
      </c>
      <c r="F177" s="46" t="inlineStr">
        <is>
          <t>0.1%</t>
        </is>
      </c>
      <c r="G177" s="47" t="inlineStr">
        <is>
          <t>เสาไฟถนน</t>
        </is>
      </c>
      <c r="H177" s="46" t="inlineStr">
        <is>
          <t>2026-04</t>
        </is>
      </c>
      <c r="I177" s="46" t="inlineStr">
        <is>
          <t>PL815</t>
        </is>
      </c>
      <c r="J177" s="46" t="inlineStr">
        <is>
          <t>D - รอผล</t>
        </is>
      </c>
      <c r="K177" s="46" t="inlineStr">
        <is>
          <t>—</t>
        </is>
      </c>
      <c r="L177" s="47" t="inlineStr">
        <is>
          <t>⚪ รอสอบถาม</t>
        </is>
      </c>
    </row>
    <row r="178" ht="14" customHeight="1">
      <c r="A178" s="46" t="n">
        <v>175</v>
      </c>
      <c r="B178" s="47" t="inlineStr">
        <is>
          <t>ทองหยก</t>
        </is>
      </c>
      <c r="C178" s="46" t="inlineStr">
        <is>
          <t>B2B อื่นๆ</t>
        </is>
      </c>
      <c r="D178" s="46" t="n">
        <v>1</v>
      </c>
      <c r="E178" s="78" t="n">
        <v>144392.22</v>
      </c>
      <c r="F178" s="46" t="inlineStr">
        <is>
          <t>0.1%</t>
        </is>
      </c>
      <c r="G178" s="47" t="inlineStr">
        <is>
          <t>เสาไฟถนน</t>
        </is>
      </c>
      <c r="H178" s="46" t="inlineStr">
        <is>
          <t>2026-02</t>
        </is>
      </c>
      <c r="I178" s="46" t="inlineStr">
        <is>
          <t>PL705</t>
        </is>
      </c>
      <c r="J178" s="46" t="inlineStr">
        <is>
          <t>D - รอผล</t>
        </is>
      </c>
      <c r="K178" s="46" t="inlineStr">
        <is>
          <t>—</t>
        </is>
      </c>
      <c r="L178" s="47" t="inlineStr">
        <is>
          <t>⚪ รอสอบถาม</t>
        </is>
      </c>
    </row>
    <row r="179" ht="14" customHeight="1">
      <c r="A179" s="46" t="n">
        <v>176</v>
      </c>
      <c r="B179" s="47" t="inlineStr">
        <is>
          <t>องค์การบริหารส่วนตำบลทุ่งลูกนก</t>
        </is>
      </c>
      <c r="C179" s="46" t="inlineStr">
        <is>
          <t>B2B อื่นๆ</t>
        </is>
      </c>
      <c r="D179" s="46" t="n">
        <v>1</v>
      </c>
      <c r="E179" s="78" t="n">
        <v>143343.62</v>
      </c>
      <c r="F179" s="46" t="inlineStr">
        <is>
          <t>0.1%</t>
        </is>
      </c>
      <c r="G179" s="47" t="inlineStr">
        <is>
          <t>High Mast</t>
        </is>
      </c>
      <c r="H179" s="46" t="inlineStr">
        <is>
          <t>2026-03</t>
        </is>
      </c>
      <c r="I179" s="46" t="inlineStr">
        <is>
          <t>PL766</t>
        </is>
      </c>
      <c r="J179" s="46" t="inlineStr">
        <is>
          <t>D - รอผล</t>
        </is>
      </c>
      <c r="K179" s="46" t="inlineStr">
        <is>
          <t>—</t>
        </is>
      </c>
      <c r="L179" s="47" t="inlineStr">
        <is>
          <t>⚪ รอสอบถาม</t>
        </is>
      </c>
    </row>
    <row r="180" ht="14" customHeight="1">
      <c r="A180" s="46" t="n">
        <v>177</v>
      </c>
      <c r="B180" s="47" t="inlineStr">
        <is>
          <t>ออฟฟิศเมท โลจิสติกส์</t>
        </is>
      </c>
      <c r="C180" s="46" t="inlineStr">
        <is>
          <t>B2B อื่นๆ</t>
        </is>
      </c>
      <c r="D180" s="46" t="n">
        <v>1</v>
      </c>
      <c r="E180" s="78" t="n">
        <v>143343.62</v>
      </c>
      <c r="F180" s="46" t="inlineStr">
        <is>
          <t>0.1%</t>
        </is>
      </c>
      <c r="G180" s="47" t="inlineStr">
        <is>
          <t>High Mast</t>
        </is>
      </c>
      <c r="H180" s="46" t="inlineStr">
        <is>
          <t>2026-03</t>
        </is>
      </c>
      <c r="I180" s="46" t="inlineStr">
        <is>
          <t>PL767</t>
        </is>
      </c>
      <c r="J180" s="46" t="inlineStr">
        <is>
          <t>D - รอผล</t>
        </is>
      </c>
      <c r="K180" s="46" t="inlineStr">
        <is>
          <t>—</t>
        </is>
      </c>
      <c r="L180" s="47" t="inlineStr">
        <is>
          <t>⚪ รอสอบถาม</t>
        </is>
      </c>
    </row>
    <row r="181" ht="14" customHeight="1">
      <c r="A181" s="46" t="n">
        <v>178</v>
      </c>
      <c r="B181" s="47" t="inlineStr">
        <is>
          <t>สราญใจพริ้นติ้ง</t>
        </is>
      </c>
      <c r="C181" s="46" t="inlineStr">
        <is>
          <t>B2B อื่นๆ</t>
        </is>
      </c>
      <c r="D181" s="46" t="n">
        <v>1</v>
      </c>
      <c r="E181" s="78" t="n">
        <v>142567.66</v>
      </c>
      <c r="F181" s="46" t="inlineStr">
        <is>
          <t>0.1%</t>
        </is>
      </c>
      <c r="G181" s="47" t="inlineStr">
        <is>
          <t>เสาไฟถนน</t>
        </is>
      </c>
      <c r="H181" s="46" t="inlineStr">
        <is>
          <t>2026-04</t>
        </is>
      </c>
      <c r="I181" s="46" t="inlineStr">
        <is>
          <t>PL834</t>
        </is>
      </c>
      <c r="J181" s="46" t="inlineStr">
        <is>
          <t>D - รอผล</t>
        </is>
      </c>
      <c r="K181" s="46" t="inlineStr">
        <is>
          <t>—</t>
        </is>
      </c>
      <c r="L181" s="47" t="inlineStr">
        <is>
          <t>⚪ รอสอบถาม</t>
        </is>
      </c>
    </row>
    <row r="182" ht="14" customHeight="1">
      <c r="A182" s="46" t="n">
        <v>179</v>
      </c>
      <c r="B182" s="47" t="inlineStr">
        <is>
          <t>สราญใจ พริ้นติ้ง</t>
        </is>
      </c>
      <c r="C182" s="46" t="inlineStr">
        <is>
          <t>B2B อื่นๆ</t>
        </is>
      </c>
      <c r="D182" s="46" t="n">
        <v>1</v>
      </c>
      <c r="E182" s="78" t="n">
        <v>142567.66</v>
      </c>
      <c r="F182" s="46" t="inlineStr">
        <is>
          <t>0.1%</t>
        </is>
      </c>
      <c r="G182" s="47" t="inlineStr">
        <is>
          <t>เสาไฟถนน</t>
        </is>
      </c>
      <c r="H182" s="46" t="inlineStr">
        <is>
          <t>2026-06</t>
        </is>
      </c>
      <c r="I182" s="46" t="inlineStr">
        <is>
          <t>PL935</t>
        </is>
      </c>
      <c r="J182" s="46" t="inlineStr">
        <is>
          <t>D - รอผล</t>
        </is>
      </c>
      <c r="K182" s="46" t="inlineStr">
        <is>
          <t>—</t>
        </is>
      </c>
      <c r="L182" s="47" t="inlineStr">
        <is>
          <t>⚪ รอสอบถาม</t>
        </is>
      </c>
    </row>
    <row r="183" ht="14" customHeight="1">
      <c r="A183" s="46" t="n">
        <v>180</v>
      </c>
      <c r="B183" s="47" t="inlineStr">
        <is>
          <t>เลคิเซ่ เอฟแอนด์เอฟ</t>
        </is>
      </c>
      <c r="C183" s="46" t="inlineStr">
        <is>
          <t>B2B อื่นๆ</t>
        </is>
      </c>
      <c r="D183" s="46" t="n">
        <v>1</v>
      </c>
      <c r="E183" s="78" t="n">
        <v>139198.44</v>
      </c>
      <c r="F183" s="46" t="inlineStr">
        <is>
          <t>0.1%</t>
        </is>
      </c>
      <c r="G183" s="47" t="inlineStr">
        <is>
          <t>เสาไฟถนน</t>
        </is>
      </c>
      <c r="H183" s="46" t="inlineStr">
        <is>
          <t>2026-02</t>
        </is>
      </c>
      <c r="I183" s="46" t="inlineStr">
        <is>
          <t>PL709</t>
        </is>
      </c>
      <c r="J183" s="46" t="inlineStr">
        <is>
          <t>D - รอผล</t>
        </is>
      </c>
      <c r="K183" s="46" t="inlineStr">
        <is>
          <t>—</t>
        </is>
      </c>
      <c r="L183" s="47" t="inlineStr">
        <is>
          <t>⚪ รอสอบถาม</t>
        </is>
      </c>
    </row>
    <row r="184" ht="14" customHeight="1">
      <c r="A184" s="46" t="n">
        <v>181</v>
      </c>
      <c r="B184" s="47" t="inlineStr">
        <is>
          <t>บริษัท ซีซีทีวี (ประเทศไทย) จำกัด</t>
        </is>
      </c>
      <c r="C184" s="46" t="inlineStr">
        <is>
          <t>B2B อื่นๆ</t>
        </is>
      </c>
      <c r="D184" s="46" t="n">
        <v>1</v>
      </c>
      <c r="E184" s="78" t="n">
        <v>137227.5</v>
      </c>
      <c r="F184" s="46" t="inlineStr">
        <is>
          <t>0.1%</t>
        </is>
      </c>
      <c r="G184" s="47" t="inlineStr">
        <is>
          <t>อื่นๆ</t>
        </is>
      </c>
      <c r="H184" s="46" t="inlineStr">
        <is>
          <t>2026-04</t>
        </is>
      </c>
      <c r="I184" s="46" t="inlineStr">
        <is>
          <t>PL827</t>
        </is>
      </c>
      <c r="J184" s="46" t="inlineStr">
        <is>
          <t>D - รอผล</t>
        </is>
      </c>
      <c r="K184" s="46" t="inlineStr">
        <is>
          <t>ZETA-iOT</t>
        </is>
      </c>
      <c r="L184" s="47" t="inlineStr">
        <is>
          <t>⚪ รอสอบถาม</t>
        </is>
      </c>
    </row>
    <row r="185" ht="14" customHeight="1">
      <c r="A185" s="46" t="n">
        <v>182</v>
      </c>
      <c r="B185" s="47" t="inlineStr">
        <is>
          <t>พัฒนานุภาพก่อสร้าง</t>
        </is>
      </c>
      <c r="C185" s="46" t="inlineStr">
        <is>
          <t>B2B อื่นๆ</t>
        </is>
      </c>
      <c r="D185" s="46" t="n">
        <v>1</v>
      </c>
      <c r="E185" s="78" t="n">
        <v>135197.05</v>
      </c>
      <c r="F185" s="46" t="inlineStr">
        <is>
          <t>0.1%</t>
        </is>
      </c>
      <c r="G185" s="47" t="inlineStr">
        <is>
          <t>เสาไฟถนน</t>
        </is>
      </c>
      <c r="H185" s="46" t="inlineStr">
        <is>
          <t>2026-05</t>
        </is>
      </c>
      <c r="I185" s="46" t="inlineStr">
        <is>
          <t>PL882</t>
        </is>
      </c>
      <c r="J185" s="46" t="inlineStr">
        <is>
          <t>D - รอผล</t>
        </is>
      </c>
      <c r="K185" s="46" t="inlineStr">
        <is>
          <t>—</t>
        </is>
      </c>
      <c r="L185" s="47" t="inlineStr">
        <is>
          <t>⚪ รอสอบถาม</t>
        </is>
      </c>
    </row>
    <row r="186" ht="14" customHeight="1">
      <c r="A186" s="46" t="n">
        <v>183</v>
      </c>
      <c r="B186" s="47" t="inlineStr">
        <is>
          <t>อบต.ตาขัน ธนกร</t>
        </is>
      </c>
      <c r="C186" s="46" t="inlineStr">
        <is>
          <t>B2G อปท.</t>
        </is>
      </c>
      <c r="D186" s="46" t="n">
        <v>1</v>
      </c>
      <c r="E186" s="78" t="n">
        <v>131976.8</v>
      </c>
      <c r="F186" s="46" t="inlineStr">
        <is>
          <t>0.1%</t>
        </is>
      </c>
      <c r="G186" s="47" t="inlineStr">
        <is>
          <t>เสาไฟถนน</t>
        </is>
      </c>
      <c r="H186" s="46" t="inlineStr">
        <is>
          <t>2026-04</t>
        </is>
      </c>
      <c r="I186" s="46" t="inlineStr">
        <is>
          <t>PL826</t>
        </is>
      </c>
      <c r="J186" s="46" t="inlineStr">
        <is>
          <t>D - รอผล</t>
        </is>
      </c>
      <c r="K186" s="46" t="inlineStr">
        <is>
          <t>—</t>
        </is>
      </c>
      <c r="L186" s="47" t="inlineStr">
        <is>
          <t>⚪ รอสอบถาม</t>
        </is>
      </c>
    </row>
    <row r="187" ht="14" customHeight="1">
      <c r="A187" s="46" t="n">
        <v>184</v>
      </c>
      <c r="B187" s="47" t="inlineStr">
        <is>
          <t>นฤมล</t>
        </is>
      </c>
      <c r="C187" s="46" t="inlineStr">
        <is>
          <t>B2B อื่นๆ</t>
        </is>
      </c>
      <c r="D187" s="46" t="n">
        <v>1</v>
      </c>
      <c r="E187" s="78" t="n">
        <v>129239.95</v>
      </c>
      <c r="F187" s="46" t="inlineStr">
        <is>
          <t>0.1%</t>
        </is>
      </c>
      <c r="G187" s="47" t="inlineStr">
        <is>
          <t>เสาไฟถนน</t>
        </is>
      </c>
      <c r="H187" s="46" t="inlineStr">
        <is>
          <t>2026-06</t>
        </is>
      </c>
      <c r="I187" s="46" t="inlineStr">
        <is>
          <t>PL926</t>
        </is>
      </c>
      <c r="J187" s="46" t="inlineStr">
        <is>
          <t>D - รอผล</t>
        </is>
      </c>
      <c r="K187" s="46" t="inlineStr">
        <is>
          <t>—</t>
        </is>
      </c>
      <c r="L187" s="47" t="inlineStr">
        <is>
          <t>⚪ รอสอบถาม</t>
        </is>
      </c>
    </row>
    <row r="188" ht="14" customHeight="1">
      <c r="A188" s="46" t="n">
        <v>185</v>
      </c>
      <c r="B188" s="47" t="inlineStr">
        <is>
          <t>เลคิเซ่ เอฟแอนด์เอฟ  R01</t>
        </is>
      </c>
      <c r="C188" s="46" t="inlineStr">
        <is>
          <t>B2B อื่นๆ</t>
        </is>
      </c>
      <c r="D188" s="46" t="n">
        <v>1</v>
      </c>
      <c r="E188" s="78" t="n">
        <v>127918.5</v>
      </c>
      <c r="F188" s="46" t="inlineStr">
        <is>
          <t>0.1%</t>
        </is>
      </c>
      <c r="G188" s="47" t="inlineStr">
        <is>
          <t>เสาไฟถนน</t>
        </is>
      </c>
      <c r="H188" s="46" t="inlineStr">
        <is>
          <t>2026-01</t>
        </is>
      </c>
      <c r="I188" s="46" t="inlineStr">
        <is>
          <t>PL646</t>
        </is>
      </c>
      <c r="J188" s="46" t="inlineStr">
        <is>
          <t>D - รอผล</t>
        </is>
      </c>
      <c r="K188" s="46" t="inlineStr">
        <is>
          <t>—</t>
        </is>
      </c>
      <c r="L188" s="47" t="inlineStr">
        <is>
          <t>⚪ รอสอบถาม</t>
        </is>
      </c>
    </row>
    <row r="189" ht="14" customHeight="1">
      <c r="A189" s="46" t="n">
        <v>186</v>
      </c>
      <c r="B189" s="47" t="inlineStr">
        <is>
          <t>เดลต้า พลัส  ชุดเกียร์วินซ์คู่</t>
        </is>
      </c>
      <c r="C189" s="46" t="inlineStr">
        <is>
          <t>B2B อื่นๆ</t>
        </is>
      </c>
      <c r="D189" s="46" t="n">
        <v>1</v>
      </c>
      <c r="E189" s="78" t="n">
        <v>127062.5</v>
      </c>
      <c r="F189" s="46" t="inlineStr">
        <is>
          <t>0.1%</t>
        </is>
      </c>
      <c r="G189" s="47" t="inlineStr">
        <is>
          <t>เสาไฟถนน</t>
        </is>
      </c>
      <c r="H189" s="46" t="inlineStr">
        <is>
          <t>2026-05</t>
        </is>
      </c>
      <c r="I189" s="46" t="inlineStr">
        <is>
          <t>PL851</t>
        </is>
      </c>
      <c r="J189" s="46" t="inlineStr">
        <is>
          <t>D - รอผล</t>
        </is>
      </c>
      <c r="K189" s="46" t="inlineStr">
        <is>
          <t>DOA</t>
        </is>
      </c>
      <c r="L189" s="47" t="inlineStr">
        <is>
          <t>⚪ รอสอบถาม</t>
        </is>
      </c>
    </row>
    <row r="190" ht="14" customHeight="1">
      <c r="A190" s="46" t="n">
        <v>187</v>
      </c>
      <c r="B190" s="47" t="inlineStr">
        <is>
          <t>อบต. เกาะกูด</t>
        </is>
      </c>
      <c r="C190" s="46" t="inlineStr">
        <is>
          <t>B2G อปท.</t>
        </is>
      </c>
      <c r="D190" s="46" t="n">
        <v>1</v>
      </c>
      <c r="E190" s="78" t="n">
        <v>125765.94</v>
      </c>
      <c r="F190" s="46" t="inlineStr">
        <is>
          <t>0.1%</t>
        </is>
      </c>
      <c r="G190" s="47" t="inlineStr">
        <is>
          <t>เสาไฟถนน</t>
        </is>
      </c>
      <c r="H190" s="46" t="inlineStr">
        <is>
          <t>2026-05</t>
        </is>
      </c>
      <c r="I190" s="46" t="inlineStr">
        <is>
          <t>PL873</t>
        </is>
      </c>
      <c r="J190" s="46" t="inlineStr">
        <is>
          <t>D - รอผล</t>
        </is>
      </c>
      <c r="K190" s="46" t="inlineStr">
        <is>
          <t>—</t>
        </is>
      </c>
      <c r="L190" s="47" t="inlineStr">
        <is>
          <t>⚪ รอสอบถาม</t>
        </is>
      </c>
    </row>
    <row r="191" ht="14" customHeight="1">
      <c r="A191" s="46" t="n">
        <v>188</v>
      </c>
      <c r="B191" s="47" t="inlineStr">
        <is>
          <t>กู๊ดวิล บิวดิ้ง</t>
        </is>
      </c>
      <c r="C191" s="46" t="inlineStr">
        <is>
          <t>B2B อื่นๆ</t>
        </is>
      </c>
      <c r="D191" s="46" t="n">
        <v>1</v>
      </c>
      <c r="E191" s="78" t="n">
        <v>125742.87</v>
      </c>
      <c r="F191" s="46" t="inlineStr">
        <is>
          <t>0.1%</t>
        </is>
      </c>
      <c r="G191" s="47" t="inlineStr">
        <is>
          <t>Guard Rail / การ์ดเรล</t>
        </is>
      </c>
      <c r="H191" s="46" t="inlineStr">
        <is>
          <t>2026-04</t>
        </is>
      </c>
      <c r="I191" s="46" t="inlineStr">
        <is>
          <t>PL846</t>
        </is>
      </c>
      <c r="J191" s="46" t="inlineStr">
        <is>
          <t>D - รอผล</t>
        </is>
      </c>
      <c r="K191" s="46" t="inlineStr">
        <is>
          <t>—</t>
        </is>
      </c>
      <c r="L191" s="47" t="inlineStr">
        <is>
          <t>⚪ รอสอบถาม</t>
        </is>
      </c>
    </row>
    <row r="192" ht="14" customHeight="1">
      <c r="A192" s="46" t="n">
        <v>189</v>
      </c>
      <c r="B192" s="47" t="inlineStr">
        <is>
          <t>บริษัท ทริลเลียนอินดัสตรีส์ จำกัด</t>
        </is>
      </c>
      <c r="C192" s="46" t="inlineStr">
        <is>
          <t>B2B บริษัท</t>
        </is>
      </c>
      <c r="D192" s="46" t="n">
        <v>1</v>
      </c>
      <c r="E192" s="78" t="n">
        <v>123948.8</v>
      </c>
      <c r="F192" s="46" t="inlineStr">
        <is>
          <t>0.1%</t>
        </is>
      </c>
      <c r="G192" s="47" t="inlineStr">
        <is>
          <t>เสาไฟถนน</t>
        </is>
      </c>
      <c r="H192" s="46" t="inlineStr">
        <is>
          <t>2026-01</t>
        </is>
      </c>
      <c r="I192" s="46" t="inlineStr">
        <is>
          <t>PL621</t>
        </is>
      </c>
      <c r="J192" s="46" t="inlineStr">
        <is>
          <t>D - รอผล</t>
        </is>
      </c>
      <c r="K192" s="46" t="inlineStr">
        <is>
          <t>—</t>
        </is>
      </c>
      <c r="L192" s="47" t="inlineStr">
        <is>
          <t>⚪ รอสอบถาม</t>
        </is>
      </c>
    </row>
    <row r="193" ht="14" customHeight="1">
      <c r="A193" s="46" t="n">
        <v>190</v>
      </c>
      <c r="B193" s="47" t="inlineStr">
        <is>
          <t>ทางหลวงชุมพร</t>
        </is>
      </c>
      <c r="C193" s="46" t="inlineStr">
        <is>
          <t>B2B อื่นๆ</t>
        </is>
      </c>
      <c r="D193" s="46" t="n">
        <v>1</v>
      </c>
      <c r="E193" s="78" t="n">
        <v>120956.01</v>
      </c>
      <c r="F193" s="46" t="inlineStr">
        <is>
          <t>0.1%</t>
        </is>
      </c>
      <c r="G193" s="47" t="inlineStr">
        <is>
          <t>High Mast</t>
        </is>
      </c>
      <c r="H193" s="46" t="inlineStr">
        <is>
          <t>2026-03</t>
        </is>
      </c>
      <c r="I193" s="46" t="inlineStr">
        <is>
          <t>PL749</t>
        </is>
      </c>
      <c r="J193" s="46" t="inlineStr">
        <is>
          <t>D - รอผล</t>
        </is>
      </c>
      <c r="K193" s="46" t="inlineStr">
        <is>
          <t>—</t>
        </is>
      </c>
      <c r="L193" s="47" t="inlineStr">
        <is>
          <t>⚪ รอสอบถาม</t>
        </is>
      </c>
    </row>
    <row r="194" ht="14" customHeight="1">
      <c r="A194" s="46" t="n">
        <v>191</v>
      </c>
      <c r="B194" s="47" t="inlineStr">
        <is>
          <t>ทริคอิเล็คทริค</t>
        </is>
      </c>
      <c r="C194" s="46" t="inlineStr">
        <is>
          <t>B2B อื่นๆ</t>
        </is>
      </c>
      <c r="D194" s="46" t="n">
        <v>2</v>
      </c>
      <c r="E194" s="78" t="n">
        <v>111602.5</v>
      </c>
      <c r="F194" s="46" t="inlineStr">
        <is>
          <t>0.1%</t>
        </is>
      </c>
      <c r="G194" s="47" t="inlineStr">
        <is>
          <t>อื่นๆ</t>
        </is>
      </c>
      <c r="H194" s="46" t="inlineStr">
        <is>
          <t>2026-01</t>
        </is>
      </c>
      <c r="I194" s="46" t="inlineStr">
        <is>
          <t>PL645</t>
        </is>
      </c>
      <c r="J194" s="46" t="inlineStr">
        <is>
          <t>D - รอผล</t>
        </is>
      </c>
      <c r="K194" s="46" t="inlineStr">
        <is>
          <t>—</t>
        </is>
      </c>
      <c r="L194" s="47" t="inlineStr">
        <is>
          <t>⚪ รอสอบถาม</t>
        </is>
      </c>
    </row>
    <row r="195" ht="14" customHeight="1">
      <c r="A195" s="46" t="n">
        <v>192</v>
      </c>
      <c r="B195" s="47" t="inlineStr">
        <is>
          <t>ไทย-ซีอาร์ซี</t>
        </is>
      </c>
      <c r="C195" s="46" t="inlineStr">
        <is>
          <t>B2B อื่นๆ</t>
        </is>
      </c>
      <c r="D195" s="46" t="n">
        <v>1</v>
      </c>
      <c r="E195" s="78" t="n">
        <v>109278.01</v>
      </c>
      <c r="F195" s="46" t="inlineStr">
        <is>
          <t>0.1%</t>
        </is>
      </c>
      <c r="G195" s="47" t="inlineStr">
        <is>
          <t>อื่นๆ</t>
        </is>
      </c>
      <c r="H195" s="46" t="inlineStr">
        <is>
          <t>2026-03</t>
        </is>
      </c>
      <c r="I195" s="46" t="inlineStr">
        <is>
          <t>PL789</t>
        </is>
      </c>
      <c r="J195" s="46" t="inlineStr">
        <is>
          <t>D - รอผล</t>
        </is>
      </c>
      <c r="K195" s="46" t="inlineStr">
        <is>
          <t>—</t>
        </is>
      </c>
      <c r="L195" s="47" t="inlineStr">
        <is>
          <t>⚪ รอสอบถาม</t>
        </is>
      </c>
    </row>
    <row r="196" ht="14" customHeight="1">
      <c r="A196" s="46" t="n">
        <v>193</v>
      </c>
      <c r="B196" s="47" t="inlineStr">
        <is>
          <t>PT</t>
        </is>
      </c>
      <c r="C196" s="46" t="inlineStr">
        <is>
          <t>B2B อื่นๆ</t>
        </is>
      </c>
      <c r="D196" s="46" t="n">
        <v>1</v>
      </c>
      <c r="E196" s="78" t="n">
        <v>109140</v>
      </c>
      <c r="F196" s="46" t="inlineStr">
        <is>
          <t>0.1%</t>
        </is>
      </c>
      <c r="G196" s="47" t="inlineStr">
        <is>
          <t>LED Streetlight</t>
        </is>
      </c>
      <c r="H196" s="46" t="inlineStr">
        <is>
          <t>2026-01</t>
        </is>
      </c>
      <c r="I196" s="46" t="inlineStr">
        <is>
          <t>PL617</t>
        </is>
      </c>
      <c r="J196" s="46" t="inlineStr">
        <is>
          <t>D - รอผล</t>
        </is>
      </c>
      <c r="K196" s="46" t="inlineStr">
        <is>
          <t>—</t>
        </is>
      </c>
      <c r="L196" s="47" t="inlineStr">
        <is>
          <t>⚪ รอสอบถาม</t>
        </is>
      </c>
    </row>
    <row r="197" ht="14" customHeight="1">
      <c r="A197" s="46" t="n">
        <v>194</v>
      </c>
      <c r="B197" s="47" t="inlineStr">
        <is>
          <t>บิ๊กแบร์</t>
        </is>
      </c>
      <c r="C197" s="46" t="inlineStr">
        <is>
          <t>B2B อื่นๆ</t>
        </is>
      </c>
      <c r="D197" s="46" t="n">
        <v>2</v>
      </c>
      <c r="E197" s="78" t="n">
        <v>105552.08</v>
      </c>
      <c r="F197" s="46" t="inlineStr">
        <is>
          <t>0.1%</t>
        </is>
      </c>
      <c r="G197" s="47" t="inlineStr">
        <is>
          <t>เสาไฟถนน/Hardware / Accessories</t>
        </is>
      </c>
      <c r="H197" s="46" t="inlineStr">
        <is>
          <t>2026-02, 2026-03</t>
        </is>
      </c>
      <c r="I197" s="46" t="inlineStr">
        <is>
          <t>PL745</t>
        </is>
      </c>
      <c r="J197" s="46" t="inlineStr">
        <is>
          <t>D - รอผล</t>
        </is>
      </c>
      <c r="K197" s="46" t="inlineStr">
        <is>
          <t>—</t>
        </is>
      </c>
      <c r="L197" s="47" t="inlineStr">
        <is>
          <t>⚪ รอสอบถาม</t>
        </is>
      </c>
    </row>
    <row r="198" ht="14" customHeight="1">
      <c r="A198" s="46" t="n">
        <v>195</v>
      </c>
      <c r="B198" s="47" t="inlineStr">
        <is>
          <t>สำนักงานเทศบาลนครมาบตาพุด</t>
        </is>
      </c>
      <c r="C198" s="46" t="inlineStr">
        <is>
          <t>B2G อปท.</t>
        </is>
      </c>
      <c r="D198" s="46" t="n">
        <v>1</v>
      </c>
      <c r="E198" s="78" t="n">
        <v>103601.68</v>
      </c>
      <c r="F198" s="46" t="inlineStr">
        <is>
          <t>0.1%</t>
        </is>
      </c>
      <c r="G198" s="47" t="inlineStr">
        <is>
          <t>LED Streetlight</t>
        </is>
      </c>
      <c r="H198" s="46" t="inlineStr">
        <is>
          <t>2026-06</t>
        </is>
      </c>
      <c r="I198" s="46" t="inlineStr">
        <is>
          <t>PL942</t>
        </is>
      </c>
      <c r="J198" s="46" t="inlineStr">
        <is>
          <t>D - รอผล</t>
        </is>
      </c>
      <c r="K198" s="46" t="inlineStr">
        <is>
          <t>—</t>
        </is>
      </c>
      <c r="L198" s="47" t="inlineStr">
        <is>
          <t>⚪ รอสอบถาม</t>
        </is>
      </c>
    </row>
    <row r="199" ht="14" customHeight="1">
      <c r="A199" s="46" t="n">
        <v>196</v>
      </c>
      <c r="B199" s="47" t="inlineStr">
        <is>
          <t>แอคคาส กรุ๊ป</t>
        </is>
      </c>
      <c r="C199" s="46" t="inlineStr">
        <is>
          <t>B2B อื่นๆ</t>
        </is>
      </c>
      <c r="D199" s="46" t="n">
        <v>1</v>
      </c>
      <c r="E199" s="78" t="n">
        <v>101189.9</v>
      </c>
      <c r="F199" s="46" t="inlineStr">
        <is>
          <t>0.1%</t>
        </is>
      </c>
      <c r="G199" s="47" t="inlineStr">
        <is>
          <t>High Mast</t>
        </is>
      </c>
      <c r="H199" s="46" t="inlineStr">
        <is>
          <t>2026-05</t>
        </is>
      </c>
      <c r="I199" s="46" t="inlineStr">
        <is>
          <t>PL896</t>
        </is>
      </c>
      <c r="J199" s="46" t="inlineStr">
        <is>
          <t>D - รอผล</t>
        </is>
      </c>
      <c r="K199" s="46" t="inlineStr">
        <is>
          <t>—</t>
        </is>
      </c>
      <c r="L199" s="47" t="inlineStr">
        <is>
          <t>⚪ รอสอบถาม</t>
        </is>
      </c>
    </row>
    <row r="200" ht="14" customHeight="1">
      <c r="A200" s="46" t="n">
        <v>197</v>
      </c>
      <c r="B200" s="47" t="inlineStr">
        <is>
          <t>วิ-หลี กรุ๊ป</t>
        </is>
      </c>
      <c r="C200" s="46" t="inlineStr">
        <is>
          <t>B2B อื่นๆ</t>
        </is>
      </c>
      <c r="D200" s="46" t="n">
        <v>1</v>
      </c>
      <c r="E200" s="78" t="n">
        <v>100697.06</v>
      </c>
      <c r="F200" s="46" t="inlineStr">
        <is>
          <t>0.1%</t>
        </is>
      </c>
      <c r="G200" s="47" t="inlineStr">
        <is>
          <t>เสาไฟถนน</t>
        </is>
      </c>
      <c r="H200" s="46" t="inlineStr">
        <is>
          <t>2026-01</t>
        </is>
      </c>
      <c r="I200" s="46" t="inlineStr">
        <is>
          <t>PL616</t>
        </is>
      </c>
      <c r="J200" s="46" t="inlineStr">
        <is>
          <t>D - รอผล</t>
        </is>
      </c>
      <c r="K200" s="46" t="inlineStr">
        <is>
          <t>—</t>
        </is>
      </c>
      <c r="L200" s="47" t="inlineStr">
        <is>
          <t>⚪ รอสอบถาม</t>
        </is>
      </c>
    </row>
    <row r="201" ht="14" customHeight="1">
      <c r="A201" s="46" t="n">
        <v>198</v>
      </c>
      <c r="B201" s="47" t="inlineStr">
        <is>
          <t>เอ็นแอนด์เอ็น อิเล็คทริคอล</t>
        </is>
      </c>
      <c r="C201" s="46" t="inlineStr">
        <is>
          <t>B2B อื่นๆ</t>
        </is>
      </c>
      <c r="D201" s="46" t="n">
        <v>1</v>
      </c>
      <c r="E201" s="78" t="n">
        <v>99868.66</v>
      </c>
      <c r="F201" s="46" t="inlineStr">
        <is>
          <t>0.1%</t>
        </is>
      </c>
      <c r="G201" s="47" t="inlineStr">
        <is>
          <t>เสาไฟถนน</t>
        </is>
      </c>
      <c r="H201" s="46" t="inlineStr">
        <is>
          <t>2026-05</t>
        </is>
      </c>
      <c r="I201" s="46" t="inlineStr">
        <is>
          <t>PL889</t>
        </is>
      </c>
      <c r="J201" s="46" t="inlineStr">
        <is>
          <t>D - รอผล</t>
        </is>
      </c>
      <c r="K201" s="46" t="inlineStr">
        <is>
          <t>—</t>
        </is>
      </c>
      <c r="L201" s="47" t="inlineStr">
        <is>
          <t>⚪ รอสอบถาม</t>
        </is>
      </c>
    </row>
    <row r="202" ht="14" customHeight="1">
      <c r="A202" s="46" t="n">
        <v>199</v>
      </c>
      <c r="B202" s="47" t="inlineStr">
        <is>
          <t>อินโน ซิสเต็ม</t>
        </is>
      </c>
      <c r="C202" s="46" t="inlineStr">
        <is>
          <t>B2B อื่นๆ</t>
        </is>
      </c>
      <c r="D202" s="46" t="n">
        <v>3</v>
      </c>
      <c r="E202" s="78" t="n">
        <v>96098.89</v>
      </c>
      <c r="F202" s="46" t="inlineStr">
        <is>
          <t>0.1%</t>
        </is>
      </c>
      <c r="G202" s="47" t="inlineStr">
        <is>
          <t>Electrical Accessories</t>
        </is>
      </c>
      <c r="H202" s="46" t="inlineStr">
        <is>
          <t>2026-01, 2026-02</t>
        </is>
      </c>
      <c r="I202" s="46" t="inlineStr">
        <is>
          <t>PL687</t>
        </is>
      </c>
      <c r="J202" s="46" t="inlineStr">
        <is>
          <t>D - รอผล</t>
        </is>
      </c>
      <c r="K202" s="46" t="inlineStr">
        <is>
          <t>—</t>
        </is>
      </c>
      <c r="L202" s="47" t="inlineStr">
        <is>
          <t>⚪ รอสอบถาม</t>
        </is>
      </c>
    </row>
    <row r="203" ht="14" customHeight="1">
      <c r="A203" s="46" t="n">
        <v>200</v>
      </c>
      <c r="B203" s="47" t="inlineStr">
        <is>
          <t>เดือนสวรรค์</t>
        </is>
      </c>
      <c r="C203" s="46" t="inlineStr">
        <is>
          <t>B2B อื่นๆ</t>
        </is>
      </c>
      <c r="D203" s="46" t="n">
        <v>1</v>
      </c>
      <c r="E203" s="78" t="n">
        <v>95632.32000000001</v>
      </c>
      <c r="F203" s="46" t="inlineStr">
        <is>
          <t>0.1%</t>
        </is>
      </c>
      <c r="G203" s="47" t="inlineStr">
        <is>
          <t>เสาไฟถนน</t>
        </is>
      </c>
      <c r="H203" s="46" t="inlineStr">
        <is>
          <t>2026-02</t>
        </is>
      </c>
      <c r="I203" s="46" t="inlineStr">
        <is>
          <t>PL686</t>
        </is>
      </c>
      <c r="J203" s="46" t="inlineStr">
        <is>
          <t>D - รอผล</t>
        </is>
      </c>
      <c r="K203" s="46" t="inlineStr">
        <is>
          <t>—</t>
        </is>
      </c>
      <c r="L203" s="47" t="inlineStr">
        <is>
          <t>⚪ รอสอบถาม</t>
        </is>
      </c>
    </row>
    <row r="204" ht="14" customHeight="1">
      <c r="A204" s="46" t="n">
        <v>201</v>
      </c>
      <c r="B204" s="47" t="inlineStr">
        <is>
          <t>คุณปภพ</t>
        </is>
      </c>
      <c r="C204" s="46" t="inlineStr">
        <is>
          <t>B2C บุคคล</t>
        </is>
      </c>
      <c r="D204" s="46" t="n">
        <v>1</v>
      </c>
      <c r="E204" s="78" t="n">
        <v>94426.42999999999</v>
      </c>
      <c r="F204" s="46" t="inlineStr">
        <is>
          <t>0.1%</t>
        </is>
      </c>
      <c r="G204" s="47" t="inlineStr">
        <is>
          <t>เสาไฟถนน</t>
        </is>
      </c>
      <c r="H204" s="46" t="inlineStr">
        <is>
          <t>2026-05</t>
        </is>
      </c>
      <c r="I204" s="46" t="inlineStr">
        <is>
          <t>PL912</t>
        </is>
      </c>
      <c r="J204" s="46" t="inlineStr">
        <is>
          <t>D - รอผล</t>
        </is>
      </c>
      <c r="K204" s="46" t="inlineStr">
        <is>
          <t>—</t>
        </is>
      </c>
      <c r="L204" s="47" t="inlineStr">
        <is>
          <t>⚪ รอสอบถาม</t>
        </is>
      </c>
    </row>
    <row r="205" ht="14" customHeight="1">
      <c r="A205" s="46" t="n">
        <v>202</v>
      </c>
      <c r="B205" s="47" t="inlineStr">
        <is>
          <t>บ.แอสกี้เทค</t>
        </is>
      </c>
      <c r="C205" s="46" t="inlineStr">
        <is>
          <t>B2B อื่นๆ</t>
        </is>
      </c>
      <c r="D205" s="46" t="n">
        <v>1</v>
      </c>
      <c r="E205" s="78" t="n">
        <v>86981.37</v>
      </c>
      <c r="F205" s="46" t="inlineStr">
        <is>
          <t>0.0%</t>
        </is>
      </c>
      <c r="G205" s="47" t="inlineStr">
        <is>
          <t>เสาไฟถนน</t>
        </is>
      </c>
      <c r="H205" s="46" t="inlineStr">
        <is>
          <t>2026-02</t>
        </is>
      </c>
      <c r="I205" s="46" t="inlineStr">
        <is>
          <t>PL729</t>
        </is>
      </c>
      <c r="J205" s="46" t="inlineStr">
        <is>
          <t>D - รอผล</t>
        </is>
      </c>
      <c r="K205" s="46" t="inlineStr">
        <is>
          <t>—</t>
        </is>
      </c>
      <c r="L205" s="47" t="inlineStr">
        <is>
          <t>⚪ รอสอบถาม</t>
        </is>
      </c>
    </row>
    <row r="206" ht="14" customHeight="1">
      <c r="A206" s="46" t="n">
        <v>203</v>
      </c>
      <c r="B206" s="47" t="inlineStr">
        <is>
          <t>เคนจิ</t>
        </is>
      </c>
      <c r="C206" s="46" t="inlineStr">
        <is>
          <t>B2B อื่นๆ</t>
        </is>
      </c>
      <c r="D206" s="46" t="n">
        <v>1</v>
      </c>
      <c r="E206" s="78" t="n">
        <v>86404.64</v>
      </c>
      <c r="F206" s="46" t="inlineStr">
        <is>
          <t>0.0%</t>
        </is>
      </c>
      <c r="G206" s="47" t="inlineStr">
        <is>
          <t>LED Streetlight</t>
        </is>
      </c>
      <c r="H206" s="46" t="inlineStr">
        <is>
          <t>2026-02</t>
        </is>
      </c>
      <c r="I206" s="46" t="inlineStr">
        <is>
          <t>PL728</t>
        </is>
      </c>
      <c r="J206" s="46" t="inlineStr">
        <is>
          <t>D - รอผล</t>
        </is>
      </c>
      <c r="K206" s="46" t="inlineStr">
        <is>
          <t>—</t>
        </is>
      </c>
      <c r="L206" s="47" t="inlineStr">
        <is>
          <t>⚪ รอสอบถาม</t>
        </is>
      </c>
    </row>
    <row r="207" ht="14" customHeight="1">
      <c r="A207" s="46" t="n">
        <v>204</v>
      </c>
      <c r="B207" s="47" t="inlineStr">
        <is>
          <t>เชียงราย เอส เอส พี</t>
        </is>
      </c>
      <c r="C207" s="46" t="inlineStr">
        <is>
          <t>B2B อื่นๆ</t>
        </is>
      </c>
      <c r="D207" s="46" t="n">
        <v>1</v>
      </c>
      <c r="E207" s="78" t="n">
        <v>86111.03</v>
      </c>
      <c r="F207" s="46" t="inlineStr">
        <is>
          <t>0.0%</t>
        </is>
      </c>
      <c r="G207" s="47" t="inlineStr">
        <is>
          <t>เสาไฟถนน</t>
        </is>
      </c>
      <c r="H207" s="46" t="inlineStr">
        <is>
          <t>2026-03</t>
        </is>
      </c>
      <c r="I207" s="46" t="inlineStr">
        <is>
          <t>PL776</t>
        </is>
      </c>
      <c r="J207" s="46" t="inlineStr">
        <is>
          <t>D - รอผล</t>
        </is>
      </c>
      <c r="K207" s="46" t="inlineStr">
        <is>
          <t>—</t>
        </is>
      </c>
      <c r="L207" s="47" t="inlineStr">
        <is>
          <t>⚪ รอสอบถาม</t>
        </is>
      </c>
    </row>
    <row r="208" ht="14" customHeight="1">
      <c r="A208" s="46" t="n">
        <v>205</v>
      </c>
      <c r="B208" s="47" t="inlineStr">
        <is>
          <t>อินสเปค เอ็นจิเนียริ่ง</t>
        </is>
      </c>
      <c r="C208" s="46" t="inlineStr">
        <is>
          <t>B2B อื่นๆ</t>
        </is>
      </c>
      <c r="D208" s="46" t="n">
        <v>1</v>
      </c>
      <c r="E208" s="78" t="n">
        <v>85759.75</v>
      </c>
      <c r="F208" s="46" t="inlineStr">
        <is>
          <t>0.0%</t>
        </is>
      </c>
      <c r="G208" s="47" t="inlineStr">
        <is>
          <t>เสาไฟถนน</t>
        </is>
      </c>
      <c r="H208" s="46" t="inlineStr">
        <is>
          <t>2026-03</t>
        </is>
      </c>
      <c r="I208" s="46" t="inlineStr">
        <is>
          <t>PL755</t>
        </is>
      </c>
      <c r="J208" s="46" t="inlineStr">
        <is>
          <t>D - รอผล</t>
        </is>
      </c>
      <c r="K208" s="46" t="inlineStr">
        <is>
          <t>—</t>
        </is>
      </c>
      <c r="L208" s="47" t="inlineStr">
        <is>
          <t>⚪ รอสอบถาม</t>
        </is>
      </c>
    </row>
    <row r="209" ht="14" customHeight="1">
      <c r="A209" s="46" t="n">
        <v>206</v>
      </c>
      <c r="B209" s="47" t="inlineStr">
        <is>
          <t>ลิ้มเลิศ เอ็นจิเนียริ่ง</t>
        </is>
      </c>
      <c r="C209" s="46" t="inlineStr">
        <is>
          <t>B2B อื่นๆ</t>
        </is>
      </c>
      <c r="D209" s="46" t="n">
        <v>1</v>
      </c>
      <c r="E209" s="78" t="n">
        <v>84307.44</v>
      </c>
      <c r="F209" s="46" t="inlineStr">
        <is>
          <t>0.0%</t>
        </is>
      </c>
      <c r="G209" s="47" t="inlineStr">
        <is>
          <t>เสาไฟถนน</t>
        </is>
      </c>
      <c r="H209" s="46" t="inlineStr">
        <is>
          <t>2026-04</t>
        </is>
      </c>
      <c r="I209" s="46" t="inlineStr">
        <is>
          <t>PL840</t>
        </is>
      </c>
      <c r="J209" s="46" t="inlineStr">
        <is>
          <t>D - รอผล</t>
        </is>
      </c>
      <c r="K209" s="46" t="inlineStr">
        <is>
          <t>—</t>
        </is>
      </c>
      <c r="L209" s="47" t="inlineStr">
        <is>
          <t>⚪ รอสอบถาม</t>
        </is>
      </c>
    </row>
    <row r="210" ht="14" customHeight="1">
      <c r="A210" s="46" t="n">
        <v>207</v>
      </c>
      <c r="B210" s="47" t="inlineStr">
        <is>
          <t>ไลท์อัพ เสา</t>
        </is>
      </c>
      <c r="C210" s="46" t="inlineStr">
        <is>
          <t>B2B อื่นๆ</t>
        </is>
      </c>
      <c r="D210" s="46" t="n">
        <v>1</v>
      </c>
      <c r="E210" s="78" t="n">
        <v>82042.46000000001</v>
      </c>
      <c r="F210" s="46" t="inlineStr">
        <is>
          <t>0.0%</t>
        </is>
      </c>
      <c r="G210" s="47" t="inlineStr">
        <is>
          <t>เสาไฟถนน</t>
        </is>
      </c>
      <c r="H210" s="46" t="inlineStr">
        <is>
          <t>2026-02</t>
        </is>
      </c>
      <c r="I210" s="46" t="inlineStr">
        <is>
          <t>PL715</t>
        </is>
      </c>
      <c r="J210" s="46" t="inlineStr">
        <is>
          <t>D - รอผล</t>
        </is>
      </c>
      <c r="K210" s="46" t="inlineStr">
        <is>
          <t>—</t>
        </is>
      </c>
      <c r="L210" s="47" t="inlineStr">
        <is>
          <t>⚪ รอสอบถาม</t>
        </is>
      </c>
    </row>
    <row r="211" ht="14" customHeight="1">
      <c r="A211" s="46" t="n">
        <v>208</v>
      </c>
      <c r="B211" s="47" t="inlineStr">
        <is>
          <t>ตรีสกุล</t>
        </is>
      </c>
      <c r="C211" s="46" t="inlineStr">
        <is>
          <t>B2B อื่นๆ</t>
        </is>
      </c>
      <c r="D211" s="46" t="n">
        <v>1</v>
      </c>
      <c r="E211" s="78" t="n">
        <v>81182.61</v>
      </c>
      <c r="F211" s="46" t="inlineStr">
        <is>
          <t>0.0%</t>
        </is>
      </c>
      <c r="G211" s="47" t="inlineStr">
        <is>
          <t>LED Streetlight</t>
        </is>
      </c>
      <c r="H211" s="46" t="inlineStr">
        <is>
          <t>2026-04</t>
        </is>
      </c>
      <c r="I211" s="46" t="inlineStr">
        <is>
          <t>PL833</t>
        </is>
      </c>
      <c r="J211" s="46" t="inlineStr">
        <is>
          <t>D - รอผล</t>
        </is>
      </c>
      <c r="K211" s="46" t="inlineStr">
        <is>
          <t>—</t>
        </is>
      </c>
      <c r="L211" s="47" t="inlineStr">
        <is>
          <t>⚪ รอสอบถาม</t>
        </is>
      </c>
    </row>
    <row r="212" ht="14" customHeight="1">
      <c r="A212" s="46" t="n">
        <v>209</v>
      </c>
      <c r="B212" s="47" t="inlineStr">
        <is>
          <t>สามช้าง กรุ๊ป</t>
        </is>
      </c>
      <c r="C212" s="46" t="inlineStr">
        <is>
          <t>B2B อื่นๆ</t>
        </is>
      </c>
      <c r="D212" s="46" t="n">
        <v>1</v>
      </c>
      <c r="E212" s="78" t="n">
        <v>75971.07000000001</v>
      </c>
      <c r="F212" s="46" t="inlineStr">
        <is>
          <t>0.0%</t>
        </is>
      </c>
      <c r="G212" s="47" t="inlineStr">
        <is>
          <t>อื่นๆ</t>
        </is>
      </c>
      <c r="H212" s="46" t="inlineStr">
        <is>
          <t>2026-02</t>
        </is>
      </c>
      <c r="I212" s="46" t="inlineStr">
        <is>
          <t>PL695</t>
        </is>
      </c>
      <c r="J212" s="46" t="inlineStr">
        <is>
          <t>D - รอผล</t>
        </is>
      </c>
      <c r="K212" s="46" t="inlineStr">
        <is>
          <t>—</t>
        </is>
      </c>
      <c r="L212" s="47" t="inlineStr">
        <is>
          <t>⚪ รอสอบถาม</t>
        </is>
      </c>
    </row>
    <row r="213" ht="14" customHeight="1">
      <c r="A213" s="46" t="n">
        <v>210</v>
      </c>
      <c r="B213" s="47" t="inlineStr">
        <is>
          <t>เทศบาลตำบลวังกะ</t>
        </is>
      </c>
      <c r="C213" s="46" t="inlineStr">
        <is>
          <t>B2G อปท.</t>
        </is>
      </c>
      <c r="D213" s="46" t="n">
        <v>1</v>
      </c>
      <c r="E213" s="78" t="n">
        <v>74859.55</v>
      </c>
      <c r="F213" s="46" t="inlineStr">
        <is>
          <t>0.0%</t>
        </is>
      </c>
      <c r="G213" s="47" t="inlineStr">
        <is>
          <t>เสาไฟถนน</t>
        </is>
      </c>
      <c r="H213" s="46" t="inlineStr">
        <is>
          <t>2026-04</t>
        </is>
      </c>
      <c r="I213" s="46" t="inlineStr">
        <is>
          <t>PL843</t>
        </is>
      </c>
      <c r="J213" s="46" t="inlineStr">
        <is>
          <t>D - รอผล</t>
        </is>
      </c>
      <c r="K213" s="46" t="inlineStr">
        <is>
          <t>—</t>
        </is>
      </c>
      <c r="L213" s="47" t="inlineStr">
        <is>
          <t>⚪ รอสอบถาม</t>
        </is>
      </c>
    </row>
    <row r="214" ht="14" customHeight="1">
      <c r="A214" s="46" t="n">
        <v>211</v>
      </c>
      <c r="B214" s="47" t="inlineStr">
        <is>
          <t>บจก.อินโนเอซ กรุ๊ป</t>
        </is>
      </c>
      <c r="C214" s="46" t="inlineStr">
        <is>
          <t>B2B อื่นๆ</t>
        </is>
      </c>
      <c r="D214" s="46" t="n">
        <v>1</v>
      </c>
      <c r="E214" s="78" t="n">
        <v>68913.99000000001</v>
      </c>
      <c r="F214" s="46" t="inlineStr">
        <is>
          <t>0.0%</t>
        </is>
      </c>
      <c r="G214" s="47" t="inlineStr">
        <is>
          <t>เสาไฟถนน</t>
        </is>
      </c>
      <c r="H214" s="46" t="inlineStr">
        <is>
          <t>2026-02</t>
        </is>
      </c>
      <c r="I214" s="46" t="inlineStr">
        <is>
          <t>PL717</t>
        </is>
      </c>
      <c r="J214" s="46" t="inlineStr">
        <is>
          <t>D - รอผล</t>
        </is>
      </c>
      <c r="K214" s="46" t="inlineStr">
        <is>
          <t>—</t>
        </is>
      </c>
      <c r="L214" s="47" t="inlineStr">
        <is>
          <t>⚪ รอสอบถาม</t>
        </is>
      </c>
    </row>
    <row r="215" ht="14" customHeight="1">
      <c r="A215" s="46" t="n">
        <v>212</v>
      </c>
      <c r="B215" s="47" t="inlineStr">
        <is>
          <t>สยามมัลติคอน</t>
        </is>
      </c>
      <c r="C215" s="46" t="inlineStr">
        <is>
          <t>B2B อื่นๆ</t>
        </is>
      </c>
      <c r="D215" s="46" t="n">
        <v>1</v>
      </c>
      <c r="E215" s="78" t="n">
        <v>68893.02</v>
      </c>
      <c r="F215" s="46" t="inlineStr">
        <is>
          <t>0.0%</t>
        </is>
      </c>
      <c r="G215" s="47" t="inlineStr">
        <is>
          <t>เสาไฟถนน</t>
        </is>
      </c>
      <c r="H215" s="46" t="inlineStr">
        <is>
          <t>2026-04</t>
        </is>
      </c>
      <c r="I215" s="46" t="inlineStr">
        <is>
          <t>PL820</t>
        </is>
      </c>
      <c r="J215" s="46" t="inlineStr">
        <is>
          <t>D - รอผล</t>
        </is>
      </c>
      <c r="K215" s="46" t="inlineStr">
        <is>
          <t>—</t>
        </is>
      </c>
      <c r="L215" s="47" t="inlineStr">
        <is>
          <t>⚪ รอสอบถาม</t>
        </is>
      </c>
    </row>
    <row r="216" ht="14" customHeight="1">
      <c r="A216" s="46" t="n">
        <v>213</v>
      </c>
      <c r="B216" s="47" t="inlineStr">
        <is>
          <t>สามช้าง</t>
        </is>
      </c>
      <c r="C216" s="46" t="inlineStr">
        <is>
          <t>B2B อื่นๆ</t>
        </is>
      </c>
      <c r="D216" s="46" t="n">
        <v>1</v>
      </c>
      <c r="E216" s="78" t="n">
        <v>67666.8</v>
      </c>
      <c r="F216" s="46" t="inlineStr">
        <is>
          <t>0.0%</t>
        </is>
      </c>
      <c r="G216" s="47" t="inlineStr">
        <is>
          <t>อื่นๆ</t>
        </is>
      </c>
      <c r="H216" s="46" t="inlineStr">
        <is>
          <t>2026-04</t>
        </is>
      </c>
      <c r="I216" s="46" t="inlineStr">
        <is>
          <t>PL818</t>
        </is>
      </c>
      <c r="J216" s="46" t="inlineStr">
        <is>
          <t>D - รอผล</t>
        </is>
      </c>
      <c r="K216" s="46" t="inlineStr">
        <is>
          <t>—</t>
        </is>
      </c>
      <c r="L216" s="47" t="inlineStr">
        <is>
          <t>⚪ รอสอบถาม</t>
        </is>
      </c>
    </row>
    <row r="217" ht="14" customHeight="1">
      <c r="A217" s="46" t="n">
        <v>214</v>
      </c>
      <c r="B217" s="47" t="inlineStr">
        <is>
          <t>นิติบุคคลหมู่บ้านจัดสรรเดอะลากูน</t>
        </is>
      </c>
      <c r="C217" s="46" t="inlineStr">
        <is>
          <t>B2B อื่นๆ</t>
        </is>
      </c>
      <c r="D217" s="46" t="n">
        <v>1</v>
      </c>
      <c r="E217" s="78" t="n">
        <v>65055.14</v>
      </c>
      <c r="F217" s="46" t="inlineStr">
        <is>
          <t>0.0%</t>
        </is>
      </c>
      <c r="G217" s="47" t="inlineStr">
        <is>
          <t>เสาไฟถนน</t>
        </is>
      </c>
      <c r="H217" s="46" t="inlineStr">
        <is>
          <t>2026-06</t>
        </is>
      </c>
      <c r="I217" s="46" t="inlineStr">
        <is>
          <t>PL941</t>
        </is>
      </c>
      <c r="J217" s="46" t="inlineStr">
        <is>
          <t>D - รอผล</t>
        </is>
      </c>
      <c r="K217" s="46" t="inlineStr">
        <is>
          <t>—</t>
        </is>
      </c>
      <c r="L217" s="47" t="inlineStr">
        <is>
          <t>⚪ รอสอบถาม</t>
        </is>
      </c>
    </row>
    <row r="218" ht="14" customHeight="1">
      <c r="A218" s="46" t="n">
        <v>215</v>
      </c>
      <c r="B218" s="47" t="inlineStr">
        <is>
          <t>ประพันธ์ สิทธิบุตร</t>
        </is>
      </c>
      <c r="C218" s="46" t="inlineStr">
        <is>
          <t>B2B อื่นๆ</t>
        </is>
      </c>
      <c r="D218" s="46" t="n">
        <v>1</v>
      </c>
      <c r="E218" s="78" t="n">
        <v>62412.67</v>
      </c>
      <c r="F218" s="46" t="inlineStr">
        <is>
          <t>0.0%</t>
        </is>
      </c>
      <c r="G218" s="47" t="inlineStr">
        <is>
          <t>LED Highbay</t>
        </is>
      </c>
      <c r="H218" s="46" t="inlineStr">
        <is>
          <t>2026-03</t>
        </is>
      </c>
      <c r="I218" s="46" t="inlineStr">
        <is>
          <t>PL758</t>
        </is>
      </c>
      <c r="J218" s="46" t="inlineStr">
        <is>
          <t>D - รอผล</t>
        </is>
      </c>
      <c r="K218" s="46" t="inlineStr">
        <is>
          <t>—</t>
        </is>
      </c>
      <c r="L218" s="47" t="inlineStr">
        <is>
          <t>⚪ รอสอบถาม</t>
        </is>
      </c>
    </row>
    <row r="219" ht="14" customHeight="1">
      <c r="A219" s="46" t="n">
        <v>216</v>
      </c>
      <c r="B219" s="47" t="inlineStr">
        <is>
          <t>โพรเซส</t>
        </is>
      </c>
      <c r="C219" s="46" t="inlineStr">
        <is>
          <t>B2B อื่นๆ</t>
        </is>
      </c>
      <c r="D219" s="46" t="n">
        <v>1</v>
      </c>
      <c r="E219" s="78" t="n">
        <v>61452.24</v>
      </c>
      <c r="F219" s="46" t="inlineStr">
        <is>
          <t>0.0%</t>
        </is>
      </c>
      <c r="G219" s="47" t="inlineStr">
        <is>
          <t>Hardware / Accessories</t>
        </is>
      </c>
      <c r="H219" s="46" t="inlineStr">
        <is>
          <t>2026-02</t>
        </is>
      </c>
      <c r="I219" s="46" t="inlineStr">
        <is>
          <t>PL688</t>
        </is>
      </c>
      <c r="J219" s="46" t="inlineStr">
        <is>
          <t>D - รอผล</t>
        </is>
      </c>
      <c r="K219" s="46" t="inlineStr">
        <is>
          <t>—</t>
        </is>
      </c>
      <c r="L219" s="47" t="inlineStr">
        <is>
          <t>⚪ รอสอบถาม</t>
        </is>
      </c>
    </row>
    <row r="220" ht="14" customHeight="1">
      <c r="A220" s="46" t="n">
        <v>217</v>
      </c>
      <c r="B220" s="47" t="inlineStr">
        <is>
          <t>อาศิรา ดีไซน์</t>
        </is>
      </c>
      <c r="C220" s="46" t="inlineStr">
        <is>
          <t>B2B อื่นๆ</t>
        </is>
      </c>
      <c r="D220" s="46" t="n">
        <v>1</v>
      </c>
      <c r="E220" s="78" t="n">
        <v>61122.15</v>
      </c>
      <c r="F220" s="46" t="inlineStr">
        <is>
          <t>0.0%</t>
        </is>
      </c>
      <c r="G220" s="47" t="inlineStr">
        <is>
          <t>เสาไฟถนน</t>
        </is>
      </c>
      <c r="H220" s="46" t="inlineStr">
        <is>
          <t>2026-05</t>
        </is>
      </c>
      <c r="I220" s="46" t="inlineStr">
        <is>
          <t>PL859</t>
        </is>
      </c>
      <c r="J220" s="46" t="inlineStr">
        <is>
          <t>D - รอผล</t>
        </is>
      </c>
      <c r="K220" s="46" t="inlineStr">
        <is>
          <t>—</t>
        </is>
      </c>
      <c r="L220" s="47" t="inlineStr">
        <is>
          <t>⚪ รอสอบถาม</t>
        </is>
      </c>
    </row>
    <row r="221" ht="14" customHeight="1">
      <c r="A221" s="46" t="n">
        <v>218</v>
      </c>
      <c r="B221" s="47" t="inlineStr">
        <is>
          <t>บริษัท แลนด์แอนด์ซี คอนเน็ก จำกัด</t>
        </is>
      </c>
      <c r="C221" s="46" t="inlineStr">
        <is>
          <t>B2B บริษัท</t>
        </is>
      </c>
      <c r="D221" s="46" t="n">
        <v>1</v>
      </c>
      <c r="E221" s="78" t="n">
        <v>59329.79</v>
      </c>
      <c r="F221" s="46" t="inlineStr">
        <is>
          <t>0.0%</t>
        </is>
      </c>
      <c r="G221" s="47" t="inlineStr">
        <is>
          <t>เสาไฟถนน</t>
        </is>
      </c>
      <c r="H221" s="46" t="inlineStr">
        <is>
          <t>2026-04</t>
        </is>
      </c>
      <c r="I221" s="46" t="inlineStr">
        <is>
          <t>PL821</t>
        </is>
      </c>
      <c r="J221" s="46" t="inlineStr">
        <is>
          <t>D - รอผล</t>
        </is>
      </c>
      <c r="K221" s="46" t="inlineStr">
        <is>
          <t>—</t>
        </is>
      </c>
      <c r="L221" s="47" t="inlineStr">
        <is>
          <t>⚪ รอสอบถาม</t>
        </is>
      </c>
    </row>
    <row r="222" ht="14" customHeight="1">
      <c r="A222" s="46" t="n">
        <v>219</v>
      </c>
      <c r="B222" s="47" t="inlineStr">
        <is>
          <t>วุทธิวงษ์ เทรดดิ้ง</t>
        </is>
      </c>
      <c r="C222" s="46" t="inlineStr">
        <is>
          <t>B2B อื่นๆ</t>
        </is>
      </c>
      <c r="D222" s="46" t="n">
        <v>1</v>
      </c>
      <c r="E222" s="78" t="n">
        <v>57084.5</v>
      </c>
      <c r="F222" s="46" t="inlineStr">
        <is>
          <t>0.0%</t>
        </is>
      </c>
      <c r="G222" s="47" t="inlineStr">
        <is>
          <t>เสาไฟถนน</t>
        </is>
      </c>
      <c r="H222" s="46" t="inlineStr">
        <is>
          <t>2026-05</t>
        </is>
      </c>
      <c r="I222" s="46" t="inlineStr">
        <is>
          <t>PL907</t>
        </is>
      </c>
      <c r="J222" s="46" t="inlineStr">
        <is>
          <t>D - รอผล</t>
        </is>
      </c>
      <c r="K222" s="46" t="inlineStr">
        <is>
          <t>—</t>
        </is>
      </c>
      <c r="L222" s="47" t="inlineStr">
        <is>
          <t>⚪ รอสอบถาม</t>
        </is>
      </c>
    </row>
    <row r="223" ht="14" customHeight="1">
      <c r="A223" s="46" t="n">
        <v>220</v>
      </c>
      <c r="B223" s="47" t="inlineStr">
        <is>
          <t>S&amp;A Informaiton</t>
        </is>
      </c>
      <c r="C223" s="46" t="inlineStr">
        <is>
          <t>B2B อื่นๆ</t>
        </is>
      </c>
      <c r="D223" s="46" t="n">
        <v>1</v>
      </c>
      <c r="E223" s="78" t="n">
        <v>56834.12</v>
      </c>
      <c r="F223" s="46" t="inlineStr">
        <is>
          <t>0.0%</t>
        </is>
      </c>
      <c r="G223" s="47" t="inlineStr">
        <is>
          <t>เสาไฟถนน</t>
        </is>
      </c>
      <c r="H223" s="46" t="inlineStr">
        <is>
          <t>2026-01</t>
        </is>
      </c>
      <c r="I223" s="46" t="inlineStr">
        <is>
          <t>PL650</t>
        </is>
      </c>
      <c r="J223" s="46" t="inlineStr">
        <is>
          <t>D - รอผล</t>
        </is>
      </c>
      <c r="K223" s="46" t="inlineStr">
        <is>
          <t>—</t>
        </is>
      </c>
      <c r="L223" s="47" t="inlineStr">
        <is>
          <t>⚪ รอสอบถาม</t>
        </is>
      </c>
    </row>
    <row r="224" ht="14" customHeight="1">
      <c r="A224" s="46" t="n">
        <v>221</v>
      </c>
      <c r="B224" s="47" t="inlineStr">
        <is>
          <t>วาย พี  สโตร์</t>
        </is>
      </c>
      <c r="C224" s="46" t="inlineStr">
        <is>
          <t>B2B อื่นๆ</t>
        </is>
      </c>
      <c r="D224" s="46" t="n">
        <v>1</v>
      </c>
      <c r="E224" s="78" t="n">
        <v>56446.14</v>
      </c>
      <c r="F224" s="46" t="inlineStr">
        <is>
          <t>0.0%</t>
        </is>
      </c>
      <c r="G224" s="47" t="inlineStr">
        <is>
          <t>เสาไฟถนน</t>
        </is>
      </c>
      <c r="H224" s="46" t="inlineStr">
        <is>
          <t>2026-05</t>
        </is>
      </c>
      <c r="I224" s="46" t="inlineStr">
        <is>
          <t>PL888</t>
        </is>
      </c>
      <c r="J224" s="46" t="inlineStr">
        <is>
          <t>D - รอผล</t>
        </is>
      </c>
      <c r="K224" s="46" t="inlineStr">
        <is>
          <t>—</t>
        </is>
      </c>
      <c r="L224" s="47" t="inlineStr">
        <is>
          <t>⚪ รอสอบถาม</t>
        </is>
      </c>
    </row>
    <row r="225" ht="14" customHeight="1">
      <c r="A225" s="46" t="n">
        <v>222</v>
      </c>
      <c r="B225" s="47" t="inlineStr">
        <is>
          <t>แซนต้า เทคโนโลยี</t>
        </is>
      </c>
      <c r="C225" s="46" t="inlineStr">
        <is>
          <t>B2B อื่นๆ</t>
        </is>
      </c>
      <c r="D225" s="46" t="n">
        <v>1</v>
      </c>
      <c r="E225" s="78" t="n">
        <v>55366.08</v>
      </c>
      <c r="F225" s="46" t="inlineStr">
        <is>
          <t>0.0%</t>
        </is>
      </c>
      <c r="G225" s="47" t="inlineStr">
        <is>
          <t>เสาไฟถนน</t>
        </is>
      </c>
      <c r="H225" s="46" t="inlineStr">
        <is>
          <t>2026-05</t>
        </is>
      </c>
      <c r="I225" s="46" t="inlineStr">
        <is>
          <t>PL890</t>
        </is>
      </c>
      <c r="J225" s="46" t="inlineStr">
        <is>
          <t>D - รอผล</t>
        </is>
      </c>
      <c r="K225" s="46" t="inlineStr">
        <is>
          <t>—</t>
        </is>
      </c>
      <c r="L225" s="47" t="inlineStr">
        <is>
          <t>⚪ รอสอบถาม</t>
        </is>
      </c>
    </row>
    <row r="226" ht="14" customHeight="1">
      <c r="A226" s="46" t="n">
        <v>223</v>
      </c>
      <c r="B226" s="47" t="inlineStr">
        <is>
          <t>พี เอ็นริช</t>
        </is>
      </c>
      <c r="C226" s="46" t="inlineStr">
        <is>
          <t>B2B อื่นๆ</t>
        </is>
      </c>
      <c r="D226" s="46" t="n">
        <v>2</v>
      </c>
      <c r="E226" s="78" t="n">
        <v>52272.71</v>
      </c>
      <c r="F226" s="46" t="inlineStr">
        <is>
          <t>0.0%</t>
        </is>
      </c>
      <c r="G226" s="47" t="inlineStr">
        <is>
          <t>เสาไฟถนน</t>
        </is>
      </c>
      <c r="H226" s="46" t="inlineStr">
        <is>
          <t>2026-01, 2026-03</t>
        </is>
      </c>
      <c r="I226" s="46" t="inlineStr">
        <is>
          <t>PL786</t>
        </is>
      </c>
      <c r="J226" s="46" t="inlineStr">
        <is>
          <t>D - รอผล</t>
        </is>
      </c>
      <c r="K226" s="46" t="inlineStr">
        <is>
          <t>—</t>
        </is>
      </c>
      <c r="L226" s="47" t="inlineStr">
        <is>
          <t>⚪ รอสอบถาม</t>
        </is>
      </c>
    </row>
    <row r="227" ht="14" customHeight="1">
      <c r="A227" s="46" t="n">
        <v>224</v>
      </c>
      <c r="B227" s="47" t="inlineStr">
        <is>
          <t>แลนด์แอนด์ซี</t>
        </is>
      </c>
      <c r="C227" s="46" t="inlineStr">
        <is>
          <t>B2B อื่นๆ</t>
        </is>
      </c>
      <c r="D227" s="46" t="n">
        <v>1</v>
      </c>
      <c r="E227" s="78" t="n">
        <v>51895</v>
      </c>
      <c r="F227" s="46" t="inlineStr">
        <is>
          <t>0.0%</t>
        </is>
      </c>
      <c r="G227" s="47" t="inlineStr">
        <is>
          <t>เสาไฟถนน</t>
        </is>
      </c>
      <c r="H227" s="46" t="inlineStr">
        <is>
          <t>2026-03</t>
        </is>
      </c>
      <c r="I227" s="46" t="inlineStr">
        <is>
          <t>PL774</t>
        </is>
      </c>
      <c r="J227" s="46" t="inlineStr">
        <is>
          <t>D - รอผล</t>
        </is>
      </c>
      <c r="K227" s="46" t="inlineStr">
        <is>
          <t>—</t>
        </is>
      </c>
      <c r="L227" s="47" t="inlineStr">
        <is>
          <t>⚪ รอสอบถาม</t>
        </is>
      </c>
    </row>
    <row r="228" ht="14" customHeight="1">
      <c r="A228" s="46" t="n">
        <v>225</v>
      </c>
      <c r="B228" s="47" t="inlineStr">
        <is>
          <t>กิจการร่วมค้า พีเอสดี</t>
        </is>
      </c>
      <c r="C228" s="46" t="inlineStr">
        <is>
          <t>B2B อื่นๆ</t>
        </is>
      </c>
      <c r="D228" s="46" t="n">
        <v>1</v>
      </c>
      <c r="E228" s="78" t="n">
        <v>49544.21</v>
      </c>
      <c r="F228" s="46" t="inlineStr">
        <is>
          <t>0.0%</t>
        </is>
      </c>
      <c r="G228" s="47" t="inlineStr">
        <is>
          <t>เสาไฟถนน</t>
        </is>
      </c>
      <c r="H228" s="46" t="inlineStr">
        <is>
          <t>2026-05</t>
        </is>
      </c>
      <c r="I228" s="46" t="inlineStr">
        <is>
          <t>PL900</t>
        </is>
      </c>
      <c r="J228" s="46" t="inlineStr">
        <is>
          <t>D - รอผล</t>
        </is>
      </c>
      <c r="K228" s="46" t="inlineStr">
        <is>
          <t>—</t>
        </is>
      </c>
      <c r="L228" s="47" t="inlineStr">
        <is>
          <t>⚪ รอสอบถาม</t>
        </is>
      </c>
    </row>
    <row r="229" ht="14" customHeight="1">
      <c r="A229" s="46" t="n">
        <v>226</v>
      </c>
      <c r="B229" s="47" t="inlineStr">
        <is>
          <t>บ.พี เอ็ม เอส การไฟฟ้า ไฮแมส15_6</t>
        </is>
      </c>
      <c r="C229" s="46" t="inlineStr">
        <is>
          <t>B2B อื่นๆ</t>
        </is>
      </c>
      <c r="D229" s="46" t="n">
        <v>1</v>
      </c>
      <c r="E229" s="78" t="n">
        <v>47187</v>
      </c>
      <c r="F229" s="46" t="inlineStr">
        <is>
          <t>0.0%</t>
        </is>
      </c>
      <c r="G229" s="47" t="inlineStr">
        <is>
          <t>LED Floodlight</t>
        </is>
      </c>
      <c r="H229" s="46" t="inlineStr">
        <is>
          <t>2026-05</t>
        </is>
      </c>
      <c r="I229" s="46" t="inlineStr">
        <is>
          <t>PL854</t>
        </is>
      </c>
      <c r="J229" s="46" t="inlineStr">
        <is>
          <t>D - รอผล</t>
        </is>
      </c>
      <c r="K229" s="46" t="inlineStr">
        <is>
          <t>—</t>
        </is>
      </c>
      <c r="L229" s="47" t="inlineStr">
        <is>
          <t>⚪ รอสอบถาม</t>
        </is>
      </c>
    </row>
    <row r="230" ht="14" customHeight="1">
      <c r="A230" s="46" t="n">
        <v>227</v>
      </c>
      <c r="B230" s="47" t="inlineStr">
        <is>
          <t>เอส.เอส.ดี.อินเตอร์   2.5</t>
        </is>
      </c>
      <c r="C230" s="46" t="inlineStr">
        <is>
          <t>B2B อื่นๆ</t>
        </is>
      </c>
      <c r="D230" s="46" t="n">
        <v>1</v>
      </c>
      <c r="E230" s="78" t="n">
        <v>46222.29</v>
      </c>
      <c r="F230" s="46" t="inlineStr">
        <is>
          <t>0.0%</t>
        </is>
      </c>
      <c r="G230" s="47" t="inlineStr">
        <is>
          <t>Guard Rail / การ์ดเรล</t>
        </is>
      </c>
      <c r="H230" s="46" t="inlineStr">
        <is>
          <t>2026-05</t>
        </is>
      </c>
      <c r="I230" s="46" t="inlineStr">
        <is>
          <t>PL885</t>
        </is>
      </c>
      <c r="J230" s="46" t="inlineStr">
        <is>
          <t>D - รอผล</t>
        </is>
      </c>
      <c r="K230" s="46" t="inlineStr">
        <is>
          <t>—</t>
        </is>
      </c>
      <c r="L230" s="47" t="inlineStr">
        <is>
          <t>⚪ รอสอบถาม</t>
        </is>
      </c>
    </row>
    <row r="231" ht="14" customHeight="1">
      <c r="A231" s="46" t="n">
        <v>228</v>
      </c>
      <c r="B231" s="47" t="inlineStr">
        <is>
          <t>ซัน เอนจิเนียริ่ง</t>
        </is>
      </c>
      <c r="C231" s="46" t="inlineStr">
        <is>
          <t>B2B อื่นๆ</t>
        </is>
      </c>
      <c r="D231" s="46" t="n">
        <v>1</v>
      </c>
      <c r="E231" s="78" t="n">
        <v>44182.76</v>
      </c>
      <c r="F231" s="46" t="inlineStr">
        <is>
          <t>0.0%</t>
        </is>
      </c>
      <c r="G231" s="47" t="inlineStr">
        <is>
          <t>เสาไฟถนน</t>
        </is>
      </c>
      <c r="H231" s="46" t="inlineStr">
        <is>
          <t>2026-05</t>
        </is>
      </c>
      <c r="I231" s="46" t="inlineStr">
        <is>
          <t>PL883</t>
        </is>
      </c>
      <c r="J231" s="46" t="inlineStr">
        <is>
          <t>D - รอผล</t>
        </is>
      </c>
      <c r="K231" s="46" t="inlineStr">
        <is>
          <t>—</t>
        </is>
      </c>
      <c r="L231" s="47" t="inlineStr">
        <is>
          <t>⚪ รอสอบถาม</t>
        </is>
      </c>
    </row>
    <row r="232" ht="14" customHeight="1">
      <c r="A232" s="46" t="n">
        <v>229</v>
      </c>
      <c r="B232" s="47" t="inlineStr">
        <is>
          <t>พาวเวอร์เทค เอนจิเนียริ่ง</t>
        </is>
      </c>
      <c r="C232" s="46" t="inlineStr">
        <is>
          <t>B2B อื่นๆ</t>
        </is>
      </c>
      <c r="D232" s="46" t="n">
        <v>1</v>
      </c>
      <c r="E232" s="78" t="n">
        <v>43097.46</v>
      </c>
      <c r="F232" s="46" t="inlineStr">
        <is>
          <t>0.0%</t>
        </is>
      </c>
      <c r="G232" s="47" t="inlineStr">
        <is>
          <t>เสาไฟถนน</t>
        </is>
      </c>
      <c r="H232" s="46" t="inlineStr">
        <is>
          <t>2026-05</t>
        </is>
      </c>
      <c r="I232" s="46" t="inlineStr">
        <is>
          <t>PL897</t>
        </is>
      </c>
      <c r="J232" s="46" t="inlineStr">
        <is>
          <t>D - รอผล</t>
        </is>
      </c>
      <c r="K232" s="46" t="inlineStr">
        <is>
          <t>—</t>
        </is>
      </c>
      <c r="L232" s="47" t="inlineStr">
        <is>
          <t>⚪ รอสอบถาม</t>
        </is>
      </c>
    </row>
    <row r="233" ht="14" customHeight="1">
      <c r="A233" s="46" t="n">
        <v>230</v>
      </c>
      <c r="B233" s="47" t="inlineStr">
        <is>
          <t>บ. เค.บี.เอ็ม.เทคโนโลยี่ส์</t>
        </is>
      </c>
      <c r="C233" s="46" t="inlineStr">
        <is>
          <t>B2B อื่นๆ</t>
        </is>
      </c>
      <c r="D233" s="46" t="n">
        <v>1</v>
      </c>
      <c r="E233" s="78" t="n">
        <v>36779.65</v>
      </c>
      <c r="F233" s="46" t="inlineStr">
        <is>
          <t>0.0%</t>
        </is>
      </c>
      <c r="G233" s="47" t="inlineStr">
        <is>
          <t>เสาไฟถนน</t>
        </is>
      </c>
      <c r="H233" s="46" t="inlineStr">
        <is>
          <t>2026-02</t>
        </is>
      </c>
      <c r="I233" s="46" t="inlineStr">
        <is>
          <t>PL731</t>
        </is>
      </c>
      <c r="J233" s="46" t="inlineStr">
        <is>
          <t>D - รอผล</t>
        </is>
      </c>
      <c r="K233" s="46" t="inlineStr">
        <is>
          <t>—</t>
        </is>
      </c>
      <c r="L233" s="47" t="inlineStr">
        <is>
          <t>⚪ รอสอบถาม</t>
        </is>
      </c>
    </row>
    <row r="234" ht="14" customHeight="1">
      <c r="A234" s="46" t="n">
        <v>231</v>
      </c>
      <c r="B234" s="47" t="inlineStr">
        <is>
          <t>วีระยุทธ</t>
        </is>
      </c>
      <c r="C234" s="46" t="inlineStr">
        <is>
          <t>B2B อื่นๆ</t>
        </is>
      </c>
      <c r="D234" s="46" t="n">
        <v>1</v>
      </c>
      <c r="E234" s="78" t="n">
        <v>31730.64</v>
      </c>
      <c r="F234" s="46" t="inlineStr">
        <is>
          <t>0.0%</t>
        </is>
      </c>
      <c r="G234" s="47" t="inlineStr">
        <is>
          <t>เสาไฟถนน</t>
        </is>
      </c>
      <c r="H234" s="46" t="inlineStr">
        <is>
          <t>2026-01</t>
        </is>
      </c>
      <c r="I234" s="46" t="inlineStr">
        <is>
          <t>PL618</t>
        </is>
      </c>
      <c r="J234" s="46" t="inlineStr">
        <is>
          <t>D - รอผล</t>
        </is>
      </c>
      <c r="K234" s="46" t="inlineStr">
        <is>
          <t>—</t>
        </is>
      </c>
      <c r="L234" s="47" t="inlineStr">
        <is>
          <t>⚪ รอสอบถาม</t>
        </is>
      </c>
    </row>
    <row r="235" ht="14" customHeight="1">
      <c r="A235" s="46" t="n">
        <v>232</v>
      </c>
      <c r="B235" s="47" t="inlineStr">
        <is>
          <t>หจก วันชัยการไฟฟ้า R01</t>
        </is>
      </c>
      <c r="C235" s="46" t="inlineStr">
        <is>
          <t>B2B หจก.</t>
        </is>
      </c>
      <c r="D235" s="46" t="n">
        <v>1</v>
      </c>
      <c r="E235" s="78" t="n">
        <v>30671.55</v>
      </c>
      <c r="F235" s="46" t="inlineStr">
        <is>
          <t>0.0%</t>
        </is>
      </c>
      <c r="G235" s="47" t="inlineStr">
        <is>
          <t>เสาไฟถนน</t>
        </is>
      </c>
      <c r="H235" s="46" t="inlineStr">
        <is>
          <t>2026-05</t>
        </is>
      </c>
      <c r="I235" s="46" t="inlineStr">
        <is>
          <t>PL852</t>
        </is>
      </c>
      <c r="J235" s="46" t="inlineStr">
        <is>
          <t>D - รอผล</t>
        </is>
      </c>
      <c r="K235" s="46" t="inlineStr">
        <is>
          <t>—</t>
        </is>
      </c>
      <c r="L235" s="47" t="inlineStr">
        <is>
          <t>⚪ รอสอบถาม</t>
        </is>
      </c>
    </row>
    <row r="236" ht="14" customHeight="1">
      <c r="A236" s="46" t="n">
        <v>233</v>
      </c>
      <c r="B236" s="47" t="inlineStr">
        <is>
          <t>พีเค 21</t>
        </is>
      </c>
      <c r="C236" s="46" t="inlineStr">
        <is>
          <t>B2B อื่นๆ</t>
        </is>
      </c>
      <c r="D236" s="46" t="n">
        <v>1</v>
      </c>
      <c r="E236" s="78" t="n">
        <v>29654.41</v>
      </c>
      <c r="F236" s="46" t="inlineStr">
        <is>
          <t>0.0%</t>
        </is>
      </c>
      <c r="G236" s="47" t="inlineStr">
        <is>
          <t>อื่นๆ</t>
        </is>
      </c>
      <c r="H236" s="46" t="inlineStr">
        <is>
          <t>2026-02</t>
        </is>
      </c>
      <c r="I236" s="46" t="inlineStr">
        <is>
          <t>PL733</t>
        </is>
      </c>
      <c r="J236" s="46" t="inlineStr">
        <is>
          <t>D - รอผล</t>
        </is>
      </c>
      <c r="K236" s="46" t="inlineStr">
        <is>
          <t>—</t>
        </is>
      </c>
      <c r="L236" s="47" t="inlineStr">
        <is>
          <t>⚪ รอสอบถาม</t>
        </is>
      </c>
    </row>
    <row r="237" ht="14" customHeight="1">
      <c r="A237" s="46" t="n">
        <v>234</v>
      </c>
      <c r="B237" s="47" t="inlineStr">
        <is>
          <t>R01  วีระยุทธ</t>
        </is>
      </c>
      <c r="C237" s="46" t="inlineStr">
        <is>
          <t>B2B อื่นๆ</t>
        </is>
      </c>
      <c r="D237" s="46" t="n">
        <v>1</v>
      </c>
      <c r="E237" s="78" t="n">
        <v>29549.55</v>
      </c>
      <c r="F237" s="46" t="inlineStr">
        <is>
          <t>0.0%</t>
        </is>
      </c>
      <c r="G237" s="47" t="inlineStr">
        <is>
          <t>เสาไฟถนน</t>
        </is>
      </c>
      <c r="H237" s="46" t="inlineStr">
        <is>
          <t>2026-02</t>
        </is>
      </c>
      <c r="I237" s="46" t="inlineStr">
        <is>
          <t>PL712</t>
        </is>
      </c>
      <c r="J237" s="46" t="inlineStr">
        <is>
          <t>D - รอผล</t>
        </is>
      </c>
      <c r="K237" s="46" t="inlineStr">
        <is>
          <t>—</t>
        </is>
      </c>
      <c r="L237" s="47" t="inlineStr">
        <is>
          <t>⚪ รอสอบถาม</t>
        </is>
      </c>
    </row>
    <row r="238" ht="14" customHeight="1">
      <c r="A238" s="46" t="n">
        <v>235</v>
      </c>
      <c r="B238" s="47" t="inlineStr">
        <is>
          <t>เอส พี</t>
        </is>
      </c>
      <c r="C238" s="46" t="inlineStr">
        <is>
          <t>B2B อื่นๆ</t>
        </is>
      </c>
      <c r="D238" s="46" t="n">
        <v>1</v>
      </c>
      <c r="E238" s="78" t="n">
        <v>28479.98</v>
      </c>
      <c r="F238" s="46" t="inlineStr">
        <is>
          <t>0.0%</t>
        </is>
      </c>
      <c r="G238" s="47" t="inlineStr">
        <is>
          <t>อื่นๆ</t>
        </is>
      </c>
      <c r="H238" s="46" t="inlineStr">
        <is>
          <t>2026-03</t>
        </is>
      </c>
      <c r="I238" s="46" t="inlineStr">
        <is>
          <t>PL754</t>
        </is>
      </c>
      <c r="J238" s="46" t="inlineStr">
        <is>
          <t>D - รอผล</t>
        </is>
      </c>
      <c r="K238" s="46" t="inlineStr">
        <is>
          <t>—</t>
        </is>
      </c>
      <c r="L238" s="47" t="inlineStr">
        <is>
          <t>⚪ รอสอบถาม</t>
        </is>
      </c>
    </row>
    <row r="239" ht="14" customHeight="1">
      <c r="A239" s="46" t="n">
        <v>236</v>
      </c>
      <c r="B239" s="47" t="inlineStr">
        <is>
          <t>บริษัท คาร์นิวาล จำกัด -FLOOD800W</t>
        </is>
      </c>
      <c r="C239" s="46" t="inlineStr">
        <is>
          <t>B2B บริษัท</t>
        </is>
      </c>
      <c r="D239" s="46" t="n">
        <v>1</v>
      </c>
      <c r="E239" s="78" t="n">
        <v>26739.3</v>
      </c>
      <c r="F239" s="46" t="inlineStr">
        <is>
          <t>0.0%</t>
        </is>
      </c>
      <c r="G239" s="47" t="inlineStr">
        <is>
          <t>อื่นๆ</t>
        </is>
      </c>
      <c r="H239" s="46" t="inlineStr">
        <is>
          <t>2026-05</t>
        </is>
      </c>
      <c r="I239" s="46" t="inlineStr">
        <is>
          <t>PL868</t>
        </is>
      </c>
      <c r="J239" s="46" t="inlineStr">
        <is>
          <t>D - รอผล</t>
        </is>
      </c>
      <c r="K239" s="46" t="inlineStr">
        <is>
          <t>—</t>
        </is>
      </c>
      <c r="L239" s="47" t="inlineStr">
        <is>
          <t>⚪ รอสอบถาม</t>
        </is>
      </c>
    </row>
    <row r="240" ht="14" customHeight="1">
      <c r="A240" s="46" t="n">
        <v>237</v>
      </c>
      <c r="B240" s="47" t="inlineStr">
        <is>
          <t>ไอคอนเนค เอ็นจิเนียริ่ง</t>
        </is>
      </c>
      <c r="C240" s="46" t="inlineStr">
        <is>
          <t>B2B อื่นๆ</t>
        </is>
      </c>
      <c r="D240" s="46" t="n">
        <v>1</v>
      </c>
      <c r="E240" s="78" t="n">
        <v>23111.14</v>
      </c>
      <c r="F240" s="46" t="inlineStr">
        <is>
          <t>0.0%</t>
        </is>
      </c>
      <c r="G240" s="47" t="inlineStr">
        <is>
          <t>เสาไฟถนน</t>
        </is>
      </c>
      <c r="H240" s="46" t="inlineStr">
        <is>
          <t>2026-05</t>
        </is>
      </c>
      <c r="I240" s="46" t="inlineStr">
        <is>
          <t>PL894</t>
        </is>
      </c>
      <c r="J240" s="46" t="inlineStr">
        <is>
          <t>D - รอผล</t>
        </is>
      </c>
      <c r="K240" s="46" t="inlineStr">
        <is>
          <t>—</t>
        </is>
      </c>
      <c r="L240" s="47" t="inlineStr">
        <is>
          <t>⚪ รอสอบถาม</t>
        </is>
      </c>
    </row>
    <row r="241" ht="14" customHeight="1">
      <c r="A241" s="46" t="n">
        <v>238</v>
      </c>
      <c r="B241" s="47" t="inlineStr">
        <is>
          <t>บ.ธัญวลัยฐนกร</t>
        </is>
      </c>
      <c r="C241" s="46" t="inlineStr">
        <is>
          <t>B2B อื่นๆ</t>
        </is>
      </c>
      <c r="D241" s="46" t="n">
        <v>1</v>
      </c>
      <c r="E241" s="78" t="n">
        <v>19837.41</v>
      </c>
      <c r="F241" s="46" t="inlineStr">
        <is>
          <t>0.0%</t>
        </is>
      </c>
      <c r="G241" s="47" t="inlineStr">
        <is>
          <t>Guard Rail / การ์ดเรล</t>
        </is>
      </c>
      <c r="H241" s="46" t="inlineStr">
        <is>
          <t>2026-05</t>
        </is>
      </c>
      <c r="I241" s="46" t="inlineStr">
        <is>
          <t>PL858</t>
        </is>
      </c>
      <c r="J241" s="46" t="inlineStr">
        <is>
          <t>D - รอผล</t>
        </is>
      </c>
      <c r="K241" s="46" t="inlineStr">
        <is>
          <t>—</t>
        </is>
      </c>
      <c r="L241" s="47" t="inlineStr">
        <is>
          <t>⚪ รอสอบถาม</t>
        </is>
      </c>
    </row>
    <row r="242" ht="14" customHeight="1">
      <c r="A242" s="46" t="n">
        <v>239</v>
      </c>
      <c r="B242" s="47" t="inlineStr">
        <is>
          <t>ชาติกิติออยล์</t>
        </is>
      </c>
      <c r="C242" s="46" t="inlineStr">
        <is>
          <t>B2B อื่นๆ</t>
        </is>
      </c>
      <c r="D242" s="46" t="n">
        <v>1</v>
      </c>
      <c r="E242" s="78" t="n">
        <v>19516.8</v>
      </c>
      <c r="F242" s="46" t="inlineStr">
        <is>
          <t>0.0%</t>
        </is>
      </c>
      <c r="G242" s="47" t="inlineStr">
        <is>
          <t>LED Streetlight</t>
        </is>
      </c>
      <c r="H242" s="46" t="inlineStr">
        <is>
          <t>2026-04</t>
        </is>
      </c>
      <c r="I242" s="46" t="inlineStr">
        <is>
          <t>PL836</t>
        </is>
      </c>
      <c r="J242" s="46" t="inlineStr">
        <is>
          <t>D - รอผล</t>
        </is>
      </c>
      <c r="K242" s="46" t="inlineStr">
        <is>
          <t>—</t>
        </is>
      </c>
      <c r="L242" s="47" t="inlineStr">
        <is>
          <t>⚪ รอสอบถาม</t>
        </is>
      </c>
    </row>
    <row r="243" ht="14" customHeight="1">
      <c r="A243" s="46" t="n">
        <v>240</v>
      </c>
      <c r="B243" s="47" t="inlineStr">
        <is>
          <t>วิษณุ เฮาส์</t>
        </is>
      </c>
      <c r="C243" s="46" t="inlineStr">
        <is>
          <t>B2B อื่นๆ</t>
        </is>
      </c>
      <c r="D243" s="46" t="n">
        <v>1</v>
      </c>
      <c r="E243" s="78" t="n">
        <v>17826.2</v>
      </c>
      <c r="F243" s="46" t="inlineStr">
        <is>
          <t>0.0%</t>
        </is>
      </c>
      <c r="G243" s="47" t="inlineStr">
        <is>
          <t>เสาไฟถนน</t>
        </is>
      </c>
      <c r="H243" s="46" t="inlineStr">
        <is>
          <t>2026-03</t>
        </is>
      </c>
      <c r="I243" s="46" t="inlineStr">
        <is>
          <t>PL782</t>
        </is>
      </c>
      <c r="J243" s="46" t="inlineStr">
        <is>
          <t>D - รอผล</t>
        </is>
      </c>
      <c r="K243" s="46" t="inlineStr">
        <is>
          <t>—</t>
        </is>
      </c>
      <c r="L243" s="47" t="inlineStr">
        <is>
          <t>⚪ รอสอบถาม</t>
        </is>
      </c>
    </row>
    <row r="244" ht="14" customHeight="1">
      <c r="A244" s="46" t="n">
        <v>241</v>
      </c>
      <c r="B244" s="47" t="inlineStr">
        <is>
          <t>สวัสดีโฮมมาร์ท 2.5</t>
        </is>
      </c>
      <c r="C244" s="46" t="inlineStr">
        <is>
          <t>B2B อื่นๆ</t>
        </is>
      </c>
      <c r="D244" s="46" t="n">
        <v>1</v>
      </c>
      <c r="E244" s="78" t="n">
        <v>17655</v>
      </c>
      <c r="F244" s="46" t="inlineStr">
        <is>
          <t>0.0%</t>
        </is>
      </c>
      <c r="G244" s="47" t="inlineStr">
        <is>
          <t>Guard Rail / การ์ดเรล</t>
        </is>
      </c>
      <c r="H244" s="46" t="inlineStr">
        <is>
          <t>2026-05</t>
        </is>
      </c>
      <c r="I244" s="46" t="inlineStr">
        <is>
          <t>PL899</t>
        </is>
      </c>
      <c r="J244" s="46" t="inlineStr">
        <is>
          <t>D - รอผล</t>
        </is>
      </c>
      <c r="K244" s="46" t="inlineStr">
        <is>
          <t>—</t>
        </is>
      </c>
      <c r="L244" s="47" t="inlineStr">
        <is>
          <t>⚪ รอสอบถาม</t>
        </is>
      </c>
    </row>
    <row r="245" ht="14" customHeight="1">
      <c r="A245" s="46" t="n">
        <v>242</v>
      </c>
      <c r="B245" s="47" t="inlineStr">
        <is>
          <t>บจก.มั่นใจ ดีเวลลอปเมนท์</t>
        </is>
      </c>
      <c r="C245" s="46" t="inlineStr">
        <is>
          <t>B2B อื่นๆ</t>
        </is>
      </c>
      <c r="D245" s="46" t="n">
        <v>1</v>
      </c>
      <c r="E245" s="78" t="n">
        <v>17494.5</v>
      </c>
      <c r="F245" s="46" t="inlineStr">
        <is>
          <t>0.0%</t>
        </is>
      </c>
      <c r="G245" s="47" t="inlineStr">
        <is>
          <t>อื่นๆ</t>
        </is>
      </c>
      <c r="H245" s="46" t="inlineStr">
        <is>
          <t>2026-01</t>
        </is>
      </c>
      <c r="I245" s="46" t="inlineStr">
        <is>
          <t>PL627</t>
        </is>
      </c>
      <c r="J245" s="46" t="inlineStr">
        <is>
          <t>D - รอผล</t>
        </is>
      </c>
      <c r="K245" s="46" t="inlineStr">
        <is>
          <t>—</t>
        </is>
      </c>
      <c r="L245" s="47" t="inlineStr">
        <is>
          <t>⚪ รอสอบถาม</t>
        </is>
      </c>
    </row>
    <row r="246" ht="14" customHeight="1">
      <c r="A246" s="46" t="n">
        <v>243</v>
      </c>
      <c r="B246" s="47" t="inlineStr">
        <is>
          <t>บริษัท ทีเจริญ บิลด จำกัด</t>
        </is>
      </c>
      <c r="C246" s="46" t="inlineStr">
        <is>
          <t>B2B บริษัท</t>
        </is>
      </c>
      <c r="D246" s="46" t="n">
        <v>1</v>
      </c>
      <c r="E246" s="78" t="n">
        <v>16868.85</v>
      </c>
      <c r="F246" s="46" t="inlineStr">
        <is>
          <t>0.0%</t>
        </is>
      </c>
      <c r="G246" s="47" t="inlineStr">
        <is>
          <t>Guard Rail / การ์ดเรล</t>
        </is>
      </c>
      <c r="H246" s="46" t="inlineStr">
        <is>
          <t>2026-06</t>
        </is>
      </c>
      <c r="I246" s="46" t="inlineStr">
        <is>
          <t>PL944</t>
        </is>
      </c>
      <c r="J246" s="46" t="inlineStr">
        <is>
          <t>D - รอผล</t>
        </is>
      </c>
      <c r="K246" s="46" t="inlineStr">
        <is>
          <t>—</t>
        </is>
      </c>
      <c r="L246" s="47" t="inlineStr">
        <is>
          <t>⚪ รอสอบถาม</t>
        </is>
      </c>
    </row>
    <row r="247" ht="14" customHeight="1">
      <c r="A247" s="46" t="n">
        <v>244</v>
      </c>
      <c r="B247" s="47" t="inlineStr">
        <is>
          <t>นพเก้าโฮมมาร์ท</t>
        </is>
      </c>
      <c r="C247" s="46" t="inlineStr">
        <is>
          <t>B2B อื่นๆ</t>
        </is>
      </c>
      <c r="D247" s="46" t="n">
        <v>1</v>
      </c>
      <c r="E247" s="78" t="n">
        <v>16861.49</v>
      </c>
      <c r="F247" s="46" t="inlineStr">
        <is>
          <t>0.0%</t>
        </is>
      </c>
      <c r="G247" s="47" t="inlineStr">
        <is>
          <t>เสาไฟถนน</t>
        </is>
      </c>
      <c r="H247" s="46" t="inlineStr">
        <is>
          <t>2026-03</t>
        </is>
      </c>
      <c r="I247" s="46" t="inlineStr">
        <is>
          <t>PL740</t>
        </is>
      </c>
      <c r="J247" s="46" t="inlineStr">
        <is>
          <t>D - รอผล</t>
        </is>
      </c>
      <c r="K247" s="46" t="inlineStr">
        <is>
          <t>—</t>
        </is>
      </c>
      <c r="L247" s="47" t="inlineStr">
        <is>
          <t>⚪ รอสอบถาม</t>
        </is>
      </c>
    </row>
    <row r="248" ht="14" customHeight="1">
      <c r="A248" s="46" t="n">
        <v>245</v>
      </c>
      <c r="B248" s="47" t="inlineStr">
        <is>
          <t>เวลโกรว์</t>
        </is>
      </c>
      <c r="C248" s="46" t="inlineStr">
        <is>
          <t>B2B อื่นๆ</t>
        </is>
      </c>
      <c r="D248" s="46" t="n">
        <v>1</v>
      </c>
      <c r="E248" s="78" t="n">
        <v>16609.82</v>
      </c>
      <c r="F248" s="46" t="inlineStr">
        <is>
          <t>0.0%</t>
        </is>
      </c>
      <c r="G248" s="47" t="inlineStr">
        <is>
          <t>เสาไฟถนน</t>
        </is>
      </c>
      <c r="H248" s="46" t="inlineStr">
        <is>
          <t>2026-02</t>
        </is>
      </c>
      <c r="I248" s="46" t="inlineStr">
        <is>
          <t>PL692</t>
        </is>
      </c>
      <c r="J248" s="46" t="inlineStr">
        <is>
          <t>D - รอผล</t>
        </is>
      </c>
      <c r="K248" s="46" t="inlineStr">
        <is>
          <t>—</t>
        </is>
      </c>
      <c r="L248" s="47" t="inlineStr">
        <is>
          <t>⚪ รอสอบถาม</t>
        </is>
      </c>
    </row>
    <row r="249" ht="14" customHeight="1">
      <c r="A249" s="46" t="n">
        <v>246</v>
      </c>
      <c r="B249" s="47" t="inlineStr">
        <is>
          <t>วัดบ่อไร่</t>
        </is>
      </c>
      <c r="C249" s="46" t="inlineStr">
        <is>
          <t>B2B อื่นๆ</t>
        </is>
      </c>
      <c r="D249" s="46" t="n">
        <v>1</v>
      </c>
      <c r="E249" s="78" t="n">
        <v>16022.61</v>
      </c>
      <c r="F249" s="46" t="inlineStr">
        <is>
          <t>0.0%</t>
        </is>
      </c>
      <c r="G249" s="47" t="inlineStr">
        <is>
          <t>เสาไฟถนน</t>
        </is>
      </c>
      <c r="H249" s="46" t="inlineStr">
        <is>
          <t>2026-04</t>
        </is>
      </c>
      <c r="I249" s="46" t="inlineStr">
        <is>
          <t>PL829</t>
        </is>
      </c>
      <c r="J249" s="46" t="inlineStr">
        <is>
          <t>D - รอผล</t>
        </is>
      </c>
      <c r="K249" s="46" t="inlineStr">
        <is>
          <t>—</t>
        </is>
      </c>
      <c r="L249" s="47" t="inlineStr">
        <is>
          <t>⚪ รอสอบถาม</t>
        </is>
      </c>
    </row>
    <row r="250" ht="14" customHeight="1">
      <c r="A250" s="46" t="n">
        <v>247</v>
      </c>
      <c r="B250" s="47" t="inlineStr">
        <is>
          <t>พี เอ เคลม</t>
        </is>
      </c>
      <c r="C250" s="46" t="inlineStr">
        <is>
          <t>B2B อื่นๆ</t>
        </is>
      </c>
      <c r="D250" s="46" t="n">
        <v>1</v>
      </c>
      <c r="E250" s="78" t="n">
        <v>16000.01</v>
      </c>
      <c r="F250" s="46" t="inlineStr">
        <is>
          <t>0.0%</t>
        </is>
      </c>
      <c r="G250" s="47" t="inlineStr">
        <is>
          <t>อื่นๆ</t>
        </is>
      </c>
      <c r="H250" s="46" t="inlineStr">
        <is>
          <t>2026-02</t>
        </is>
      </c>
      <c r="I250" s="46" t="inlineStr">
        <is>
          <t>PL707</t>
        </is>
      </c>
      <c r="J250" s="46" t="inlineStr">
        <is>
          <t>D - รอผล</t>
        </is>
      </c>
      <c r="K250" s="46" t="inlineStr">
        <is>
          <t>—</t>
        </is>
      </c>
      <c r="L250" s="47" t="inlineStr">
        <is>
          <t>⚪ รอสอบถาม</t>
        </is>
      </c>
    </row>
    <row r="251" ht="14" customHeight="1">
      <c r="A251" s="46" t="n">
        <v>248</v>
      </c>
      <c r="B251" s="47" t="inlineStr">
        <is>
          <t>ดาต้า เวคเตอร์</t>
        </is>
      </c>
      <c r="C251" s="46" t="inlineStr">
        <is>
          <t>B2B อื่นๆ</t>
        </is>
      </c>
      <c r="D251" s="46" t="n">
        <v>1</v>
      </c>
      <c r="E251" s="78" t="n">
        <v>15584.55</v>
      </c>
      <c r="F251" s="46" t="inlineStr">
        <is>
          <t>0.0%</t>
        </is>
      </c>
      <c r="G251" s="47" t="inlineStr">
        <is>
          <t>เสาไฟถนน</t>
        </is>
      </c>
      <c r="H251" s="46" t="inlineStr">
        <is>
          <t>2026-01</t>
        </is>
      </c>
      <c r="I251" s="46" t="inlineStr">
        <is>
          <t>PL642</t>
        </is>
      </c>
      <c r="J251" s="46" t="inlineStr">
        <is>
          <t>D - รอผล</t>
        </is>
      </c>
      <c r="K251" s="46" t="inlineStr">
        <is>
          <t>—</t>
        </is>
      </c>
      <c r="L251" s="47" t="inlineStr">
        <is>
          <t>⚪ รอสอบถาม</t>
        </is>
      </c>
    </row>
    <row r="252" ht="14" customHeight="1">
      <c r="A252" s="46" t="n">
        <v>249</v>
      </c>
      <c r="B252" s="47" t="inlineStr">
        <is>
          <t>เค เอ็น อาร์</t>
        </is>
      </c>
      <c r="C252" s="46" t="inlineStr">
        <is>
          <t>B2B อื่นๆ</t>
        </is>
      </c>
      <c r="D252" s="46" t="n">
        <v>1</v>
      </c>
      <c r="E252" s="78" t="n">
        <v>15341.02</v>
      </c>
      <c r="F252" s="46" t="inlineStr">
        <is>
          <t>0.0%</t>
        </is>
      </c>
      <c r="G252" s="47" t="inlineStr">
        <is>
          <t>เสาไฟถนน</t>
        </is>
      </c>
      <c r="H252" s="46" t="inlineStr">
        <is>
          <t>2026-05</t>
        </is>
      </c>
      <c r="I252" s="46" t="inlineStr">
        <is>
          <t>PL867</t>
        </is>
      </c>
      <c r="J252" s="46" t="inlineStr">
        <is>
          <t>D - รอผล</t>
        </is>
      </c>
      <c r="K252" s="46" t="inlineStr">
        <is>
          <t>—</t>
        </is>
      </c>
      <c r="L252" s="47" t="inlineStr">
        <is>
          <t>⚪ รอสอบถาม</t>
        </is>
      </c>
    </row>
    <row r="253" ht="14" customHeight="1">
      <c r="A253" s="46" t="n">
        <v>250</v>
      </c>
      <c r="B253" s="47" t="inlineStr">
        <is>
          <t>พี.ซี.เอ็น  การช่าง</t>
        </is>
      </c>
      <c r="C253" s="46" t="inlineStr">
        <is>
          <t>B2B อื่นๆ</t>
        </is>
      </c>
      <c r="D253" s="46" t="n">
        <v>1</v>
      </c>
      <c r="E253" s="78" t="n">
        <v>13736.66</v>
      </c>
      <c r="F253" s="46" t="inlineStr">
        <is>
          <t>0.0%</t>
        </is>
      </c>
      <c r="G253" s="47" t="inlineStr">
        <is>
          <t>เสาไฟถนน</t>
        </is>
      </c>
      <c r="H253" s="46" t="inlineStr">
        <is>
          <t>2026-05</t>
        </is>
      </c>
      <c r="I253" s="46" t="inlineStr">
        <is>
          <t>PL913</t>
        </is>
      </c>
      <c r="J253" s="46" t="inlineStr">
        <is>
          <t>D - รอผล</t>
        </is>
      </c>
      <c r="K253" s="46" t="inlineStr">
        <is>
          <t>—</t>
        </is>
      </c>
      <c r="L253" s="47" t="inlineStr">
        <is>
          <t>⚪ รอสอบถาม</t>
        </is>
      </c>
    </row>
    <row r="254" ht="14" customHeight="1">
      <c r="A254" s="46" t="n">
        <v>251</v>
      </c>
      <c r="B254" s="47" t="inlineStr">
        <is>
          <t>อบต.หัวทุ่ง</t>
        </is>
      </c>
      <c r="C254" s="46" t="inlineStr">
        <is>
          <t>B2G อปท.</t>
        </is>
      </c>
      <c r="D254" s="46" t="n">
        <v>1</v>
      </c>
      <c r="E254" s="78" t="n">
        <v>12688.06</v>
      </c>
      <c r="F254" s="46" t="inlineStr">
        <is>
          <t>0.0%</t>
        </is>
      </c>
      <c r="G254" s="47" t="inlineStr">
        <is>
          <t>เสาไฟถนน</t>
        </is>
      </c>
      <c r="H254" s="46" t="inlineStr">
        <is>
          <t>2026-05</t>
        </is>
      </c>
      <c r="I254" s="46" t="inlineStr">
        <is>
          <t>PL902</t>
        </is>
      </c>
      <c r="J254" s="46" t="inlineStr">
        <is>
          <t>D - รอผล</t>
        </is>
      </c>
      <c r="K254" s="46" t="inlineStr">
        <is>
          <t>—</t>
        </is>
      </c>
      <c r="L254" s="47" t="inlineStr">
        <is>
          <t>⚪ รอสอบถาม</t>
        </is>
      </c>
    </row>
    <row r="255" ht="14" customHeight="1">
      <c r="A255" s="46" t="n">
        <v>252</v>
      </c>
      <c r="B255" s="47" t="inlineStr">
        <is>
          <t>นภสินธุ์ทรัพย์มั่นคง</t>
        </is>
      </c>
      <c r="C255" s="46" t="inlineStr">
        <is>
          <t>B2B อื่นๆ</t>
        </is>
      </c>
      <c r="D255" s="46" t="n">
        <v>1</v>
      </c>
      <c r="E255" s="78" t="n">
        <v>9982.67</v>
      </c>
      <c r="F255" s="46" t="inlineStr">
        <is>
          <t>0.0%</t>
        </is>
      </c>
      <c r="G255" s="47" t="inlineStr">
        <is>
          <t>อื่นๆ</t>
        </is>
      </c>
      <c r="H255" s="46" t="inlineStr">
        <is>
          <t>2026-05</t>
        </is>
      </c>
      <c r="I255" s="46" t="inlineStr">
        <is>
          <t>PL872</t>
        </is>
      </c>
      <c r="J255" s="46" t="inlineStr">
        <is>
          <t>D - รอผล</t>
        </is>
      </c>
      <c r="K255" s="46" t="inlineStr">
        <is>
          <t>—</t>
        </is>
      </c>
      <c r="L255" s="47" t="inlineStr">
        <is>
          <t>⚪ รอสอบถาม</t>
        </is>
      </c>
    </row>
    <row r="256" ht="14" customHeight="1">
      <c r="A256" s="46" t="n">
        <v>253</v>
      </c>
      <c r="B256" s="47" t="inlineStr">
        <is>
          <t>กรวิชญ์ สุขสวัสดิ์</t>
        </is>
      </c>
      <c r="C256" s="46" t="inlineStr">
        <is>
          <t>B2B อื่นๆ</t>
        </is>
      </c>
      <c r="D256" s="46" t="n">
        <v>1</v>
      </c>
      <c r="E256" s="78" t="n">
        <v>8757.950000000001</v>
      </c>
      <c r="F256" s="46" t="inlineStr">
        <is>
          <t>0.0%</t>
        </is>
      </c>
      <c r="G256" s="47" t="inlineStr">
        <is>
          <t>เสาไฟถนน</t>
        </is>
      </c>
      <c r="H256" s="46" t="inlineStr">
        <is>
          <t>2026-01</t>
        </is>
      </c>
      <c r="I256" s="46" t="inlineStr">
        <is>
          <t>PL651</t>
        </is>
      </c>
      <c r="J256" s="46" t="inlineStr">
        <is>
          <t>D - รอผล</t>
        </is>
      </c>
      <c r="K256" s="46" t="inlineStr">
        <is>
          <t>—</t>
        </is>
      </c>
      <c r="L256" s="47" t="inlineStr">
        <is>
          <t>⚪ รอสอบถาม</t>
        </is>
      </c>
    </row>
    <row r="257" ht="14" customHeight="1">
      <c r="A257" s="46" t="n">
        <v>254</v>
      </c>
      <c r="B257" s="47" t="inlineStr">
        <is>
          <t>พี เอ็น จี</t>
        </is>
      </c>
      <c r="C257" s="46" t="inlineStr">
        <is>
          <t>B2B อื่นๆ</t>
        </is>
      </c>
      <c r="D257" s="46" t="n">
        <v>1</v>
      </c>
      <c r="E257" s="78" t="n">
        <v>8462.200000000001</v>
      </c>
      <c r="F257" s="46" t="inlineStr">
        <is>
          <t>0.0%</t>
        </is>
      </c>
      <c r="G257" s="47" t="inlineStr">
        <is>
          <t>เสาไฟถนน</t>
        </is>
      </c>
      <c r="H257" s="46" t="inlineStr">
        <is>
          <t>2026-05</t>
        </is>
      </c>
      <c r="I257" s="46" t="inlineStr">
        <is>
          <t>PL876</t>
        </is>
      </c>
      <c r="J257" s="46" t="inlineStr">
        <is>
          <t>D - รอผล</t>
        </is>
      </c>
      <c r="K257" s="46" t="inlineStr">
        <is>
          <t>—</t>
        </is>
      </c>
      <c r="L257" s="47" t="inlineStr">
        <is>
          <t>⚪ รอสอบถาม</t>
        </is>
      </c>
    </row>
    <row r="258" ht="14" customHeight="1">
      <c r="A258" s="46" t="n">
        <v>255</v>
      </c>
      <c r="B258" s="47" t="inlineStr">
        <is>
          <t>เดียร์ เอนจิเนียริ่ง เซอร์วิส (ไทยแลนด์)</t>
        </is>
      </c>
      <c r="C258" s="46" t="inlineStr">
        <is>
          <t>B2B อื่นๆ</t>
        </is>
      </c>
      <c r="D258" s="46" t="n">
        <v>1</v>
      </c>
      <c r="E258" s="78" t="n">
        <v>8247.24</v>
      </c>
      <c r="F258" s="46" t="inlineStr">
        <is>
          <t>0.0%</t>
        </is>
      </c>
      <c r="G258" s="47" t="inlineStr">
        <is>
          <t>เสาไฟถนน</t>
        </is>
      </c>
      <c r="H258" s="46" t="inlineStr">
        <is>
          <t>2026-03</t>
        </is>
      </c>
      <c r="I258" s="46" t="inlineStr">
        <is>
          <t>PL746</t>
        </is>
      </c>
      <c r="J258" s="46" t="inlineStr">
        <is>
          <t>D - รอผล</t>
        </is>
      </c>
      <c r="K258" s="46" t="inlineStr">
        <is>
          <t>—</t>
        </is>
      </c>
      <c r="L258" s="47" t="inlineStr">
        <is>
          <t>⚪ รอสอบถาม</t>
        </is>
      </c>
    </row>
    <row r="259" ht="14" customHeight="1">
      <c r="A259" s="46" t="n">
        <v>256</v>
      </c>
      <c r="B259" s="47" t="inlineStr">
        <is>
          <t>พี เอ็น ริช</t>
        </is>
      </c>
      <c r="C259" s="46" t="inlineStr">
        <is>
          <t>B2B อื่นๆ</t>
        </is>
      </c>
      <c r="D259" s="46" t="n">
        <v>1</v>
      </c>
      <c r="E259" s="78" t="n">
        <v>7591.86</v>
      </c>
      <c r="F259" s="46" t="inlineStr">
        <is>
          <t>0.0%</t>
        </is>
      </c>
      <c r="G259" s="47" t="inlineStr">
        <is>
          <t>เสาไฟถนน</t>
        </is>
      </c>
      <c r="H259" s="46" t="inlineStr">
        <is>
          <t>2026-03</t>
        </is>
      </c>
      <c r="I259" s="46" t="inlineStr">
        <is>
          <t>PL795</t>
        </is>
      </c>
      <c r="J259" s="46" t="inlineStr">
        <is>
          <t>D - รอผล</t>
        </is>
      </c>
      <c r="K259" s="46" t="inlineStr">
        <is>
          <t>—</t>
        </is>
      </c>
      <c r="L259" s="47" t="inlineStr">
        <is>
          <t>⚪ รอสอบถาม</t>
        </is>
      </c>
    </row>
    <row r="260" ht="14" customHeight="1">
      <c r="A260" s="46" t="n">
        <v>257</v>
      </c>
      <c r="B260" s="47" t="inlineStr">
        <is>
          <t>เคเอสซี รีไลด์บิลิตี้</t>
        </is>
      </c>
      <c r="C260" s="46" t="inlineStr">
        <is>
          <t>B2B อื่นๆ</t>
        </is>
      </c>
      <c r="D260" s="46" t="n">
        <v>1</v>
      </c>
      <c r="E260" s="78" t="n">
        <v>6920.76</v>
      </c>
      <c r="F260" s="46" t="inlineStr">
        <is>
          <t>0.0%</t>
        </is>
      </c>
      <c r="G260" s="47" t="inlineStr">
        <is>
          <t>เสาไฟถนน</t>
        </is>
      </c>
      <c r="H260" s="46" t="inlineStr">
        <is>
          <t>2026-05</t>
        </is>
      </c>
      <c r="I260" s="46" t="inlineStr">
        <is>
          <t>PL904</t>
        </is>
      </c>
      <c r="J260" s="46" t="inlineStr">
        <is>
          <t>D - รอผล</t>
        </is>
      </c>
      <c r="K260" s="46" t="inlineStr">
        <is>
          <t>—</t>
        </is>
      </c>
      <c r="L260" s="47" t="inlineStr">
        <is>
          <t>⚪ รอสอบถาม</t>
        </is>
      </c>
    </row>
    <row r="261" ht="14" customHeight="1">
      <c r="A261" s="46" t="n">
        <v>258</v>
      </c>
      <c r="B261" s="47" t="inlineStr">
        <is>
          <t>สมบูรณ์เพลสอพารท์เม้นท์</t>
        </is>
      </c>
      <c r="C261" s="46" t="inlineStr">
        <is>
          <t>B2B อื่นๆ</t>
        </is>
      </c>
      <c r="D261" s="46" t="n">
        <v>1</v>
      </c>
      <c r="E261" s="78" t="n">
        <v>6569.48</v>
      </c>
      <c r="F261" s="46" t="inlineStr">
        <is>
          <t>0.0%</t>
        </is>
      </c>
      <c r="G261" s="47" t="inlineStr">
        <is>
          <t>เสาไฟถนน</t>
        </is>
      </c>
      <c r="H261" s="46" t="inlineStr">
        <is>
          <t>2026-03</t>
        </is>
      </c>
      <c r="I261" s="46" t="inlineStr">
        <is>
          <t>PL741</t>
        </is>
      </c>
      <c r="J261" s="46" t="inlineStr">
        <is>
          <t>D - รอผล</t>
        </is>
      </c>
      <c r="K261" s="46" t="inlineStr">
        <is>
          <t>—</t>
        </is>
      </c>
      <c r="L261" s="47" t="inlineStr">
        <is>
          <t>⚪ รอสอบถาม</t>
        </is>
      </c>
    </row>
    <row r="262" ht="14" customHeight="1">
      <c r="A262" s="46" t="n">
        <v>259</v>
      </c>
      <c r="B262" s="47" t="inlineStr">
        <is>
          <t>คุณนัท</t>
        </is>
      </c>
      <c r="C262" s="46" t="inlineStr">
        <is>
          <t>B2C บุคคล</t>
        </is>
      </c>
      <c r="D262" s="46" t="n">
        <v>1</v>
      </c>
      <c r="E262" s="78" t="n">
        <v>6473.5</v>
      </c>
      <c r="F262" s="46" t="inlineStr">
        <is>
          <t>0.0%</t>
        </is>
      </c>
      <c r="G262" s="47" t="inlineStr">
        <is>
          <t>เสาไฟถนน</t>
        </is>
      </c>
      <c r="H262" s="46" t="inlineStr">
        <is>
          <t>2026-04</t>
        </is>
      </c>
      <c r="I262" s="46" t="inlineStr">
        <is>
          <t>PL808</t>
        </is>
      </c>
      <c r="J262" s="46" t="inlineStr">
        <is>
          <t>D - รอผล</t>
        </is>
      </c>
      <c r="K262" s="46" t="inlineStr">
        <is>
          <t>—</t>
        </is>
      </c>
      <c r="L262" s="47" t="inlineStr">
        <is>
          <t>⚪ รอสอบถาม</t>
        </is>
      </c>
    </row>
    <row r="263" ht="14" customHeight="1">
      <c r="A263" s="46" t="n">
        <v>260</v>
      </c>
      <c r="B263" s="47" t="inlineStr">
        <is>
          <t>บ.ซี.เอส. เอ็นจิเนียริ่ง</t>
        </is>
      </c>
      <c r="C263" s="46" t="inlineStr">
        <is>
          <t>B2B อื่นๆ</t>
        </is>
      </c>
      <c r="D263" s="46" t="n">
        <v>1</v>
      </c>
      <c r="E263" s="78" t="n">
        <v>6396.46</v>
      </c>
      <c r="F263" s="46" t="inlineStr">
        <is>
          <t>0.0%</t>
        </is>
      </c>
      <c r="G263" s="47" t="inlineStr">
        <is>
          <t>เสาไฟถนน</t>
        </is>
      </c>
      <c r="H263" s="46" t="inlineStr">
        <is>
          <t>2026-04</t>
        </is>
      </c>
      <c r="I263" s="46" t="inlineStr">
        <is>
          <t>PL835</t>
        </is>
      </c>
      <c r="J263" s="46" t="inlineStr">
        <is>
          <t>D - รอผล</t>
        </is>
      </c>
      <c r="K263" s="46" t="inlineStr">
        <is>
          <t>—</t>
        </is>
      </c>
      <c r="L263" s="47" t="inlineStr">
        <is>
          <t>⚪ รอสอบถาม</t>
        </is>
      </c>
    </row>
    <row r="264" ht="14" customHeight="1">
      <c r="A264" s="46" t="n">
        <v>261</v>
      </c>
      <c r="B264" s="47" t="inlineStr">
        <is>
          <t>ยูเอ็น เซอร์วิส</t>
        </is>
      </c>
      <c r="C264" s="46" t="inlineStr">
        <is>
          <t>B2B อื่นๆ</t>
        </is>
      </c>
      <c r="D264" s="46" t="n">
        <v>1</v>
      </c>
      <c r="E264" s="78" t="n">
        <v>6033.64</v>
      </c>
      <c r="F264" s="46" t="inlineStr">
        <is>
          <t>0.0%</t>
        </is>
      </c>
      <c r="G264" s="47" t="inlineStr">
        <is>
          <t>Guard Rail / การ์ดเรล</t>
        </is>
      </c>
      <c r="H264" s="46" t="inlineStr">
        <is>
          <t>2026-03</t>
        </is>
      </c>
      <c r="I264" s="46" t="inlineStr">
        <is>
          <t>PL787</t>
        </is>
      </c>
      <c r="J264" s="46" t="inlineStr">
        <is>
          <t>D - รอผล</t>
        </is>
      </c>
      <c r="K264" s="46" t="inlineStr">
        <is>
          <t>—</t>
        </is>
      </c>
      <c r="L264" s="47" t="inlineStr">
        <is>
          <t>⚪ รอสอบถาม</t>
        </is>
      </c>
    </row>
    <row r="265" ht="14" customHeight="1">
      <c r="A265" s="46" t="n">
        <v>262</v>
      </c>
      <c r="B265" s="47" t="inlineStr">
        <is>
          <t>บ. ไทยทาสก์อาร์คิเท็คส์</t>
        </is>
      </c>
      <c r="C265" s="46" t="inlineStr">
        <is>
          <t>B2B อื่นๆ</t>
        </is>
      </c>
      <c r="D265" s="46" t="n">
        <v>1</v>
      </c>
      <c r="E265" s="78" t="n">
        <v>5877.4</v>
      </c>
      <c r="F265" s="46" t="inlineStr">
        <is>
          <t>0.0%</t>
        </is>
      </c>
      <c r="G265" s="47" t="inlineStr">
        <is>
          <t>เสาไฟถนน</t>
        </is>
      </c>
      <c r="H265" s="46" t="inlineStr">
        <is>
          <t>2026-02</t>
        </is>
      </c>
      <c r="I265" s="46" t="inlineStr">
        <is>
          <t>PL736</t>
        </is>
      </c>
      <c r="J265" s="46" t="inlineStr">
        <is>
          <t>D - รอผล</t>
        </is>
      </c>
      <c r="K265" s="46" t="inlineStr">
        <is>
          <t>—</t>
        </is>
      </c>
      <c r="L265" s="47" t="inlineStr">
        <is>
          <t>⚪ รอสอบถาม</t>
        </is>
      </c>
    </row>
    <row r="266" ht="14" customHeight="1">
      <c r="A266" s="46" t="n">
        <v>263</v>
      </c>
      <c r="B266" s="47" t="inlineStr">
        <is>
          <t>คุณจัสมิน</t>
        </is>
      </c>
      <c r="C266" s="46" t="inlineStr">
        <is>
          <t>B2C บุคคล</t>
        </is>
      </c>
      <c r="D266" s="46" t="n">
        <v>1</v>
      </c>
      <c r="E266" s="78" t="n">
        <v>5016.5</v>
      </c>
      <c r="F266" s="46" t="inlineStr">
        <is>
          <t>0.0%</t>
        </is>
      </c>
      <c r="G266" s="47" t="inlineStr">
        <is>
          <t>Guard Rail / การ์ดเรล</t>
        </is>
      </c>
      <c r="H266" s="46" t="inlineStr">
        <is>
          <t>2026-04</t>
        </is>
      </c>
      <c r="I266" s="46" t="inlineStr">
        <is>
          <t>PL810</t>
        </is>
      </c>
      <c r="J266" s="46" t="inlineStr">
        <is>
          <t>D - รอผล</t>
        </is>
      </c>
      <c r="K266" s="46" t="inlineStr">
        <is>
          <t>—</t>
        </is>
      </c>
      <c r="L266" s="47" t="inlineStr">
        <is>
          <t>⚪ รอสอบถาม</t>
        </is>
      </c>
    </row>
    <row r="267" ht="14" customHeight="1">
      <c r="A267" s="46" t="n">
        <v>264</v>
      </c>
      <c r="B267" s="47" t="inlineStr">
        <is>
          <t>จิ่วหลงไทย</t>
        </is>
      </c>
      <c r="C267" s="46" t="inlineStr">
        <is>
          <t>B2B อื่นๆ</t>
        </is>
      </c>
      <c r="D267" s="46" t="n">
        <v>1</v>
      </c>
      <c r="E267" s="78" t="n">
        <v>4500</v>
      </c>
      <c r="F267" s="46" t="inlineStr">
        <is>
          <t>0.0%</t>
        </is>
      </c>
      <c r="G267" s="47" t="inlineStr">
        <is>
          <t>อื่นๆ</t>
        </is>
      </c>
      <c r="H267" s="46" t="inlineStr">
        <is>
          <t>2026-02</t>
        </is>
      </c>
      <c r="I267" s="46" t="inlineStr">
        <is>
          <t>PL699</t>
        </is>
      </c>
      <c r="J267" s="46" t="inlineStr">
        <is>
          <t>D - รอผล</t>
        </is>
      </c>
      <c r="K267" s="46" t="inlineStr">
        <is>
          <t>—</t>
        </is>
      </c>
      <c r="L267" s="47" t="inlineStr">
        <is>
          <t>⚪ รอสอบถาม</t>
        </is>
      </c>
    </row>
    <row r="268" ht="14" customHeight="1">
      <c r="A268" s="46" t="n">
        <v>265</v>
      </c>
      <c r="B268" s="47" t="inlineStr">
        <is>
          <t>ZETA-9 Cloud (Controller)</t>
        </is>
      </c>
      <c r="C268" s="46" t="inlineStr">
        <is>
          <t>B2B อื่นๆ</t>
        </is>
      </c>
      <c r="D268" s="46" t="n">
        <v>1</v>
      </c>
      <c r="E268" s="78" t="n">
        <v>4012.5</v>
      </c>
      <c r="F268" s="46" t="inlineStr">
        <is>
          <t>0.0%</t>
        </is>
      </c>
      <c r="G268" s="47" t="inlineStr">
        <is>
          <t>อื่นๆ</t>
        </is>
      </c>
      <c r="H268" s="46" t="inlineStr">
        <is>
          <t>2026-04</t>
        </is>
      </c>
      <c r="I268" s="46" t="inlineStr">
        <is>
          <t>PL816</t>
        </is>
      </c>
      <c r="J268" s="46" t="inlineStr">
        <is>
          <t>D - รอผล</t>
        </is>
      </c>
      <c r="K268" s="46" t="inlineStr">
        <is>
          <t>ZETA-iOT</t>
        </is>
      </c>
      <c r="L268" s="47" t="inlineStr">
        <is>
          <t>⚪ รอสอบถาม</t>
        </is>
      </c>
    </row>
    <row r="269" ht="14" customHeight="1">
      <c r="A269" s="46" t="n">
        <v>266</v>
      </c>
      <c r="B269" s="47" t="inlineStr">
        <is>
          <t>กรุงเทพคอนกรีต</t>
        </is>
      </c>
      <c r="C269" s="46" t="inlineStr">
        <is>
          <t>B2B อื่นๆ</t>
        </is>
      </c>
      <c r="D269" s="46" t="n">
        <v>1</v>
      </c>
      <c r="E269" s="78" t="n">
        <v>3567</v>
      </c>
      <c r="F269" s="46" t="inlineStr">
        <is>
          <t>0.0%</t>
        </is>
      </c>
      <c r="G269" s="47" t="inlineStr">
        <is>
          <t>อื่นๆ</t>
        </is>
      </c>
      <c r="H269" s="46" t="inlineStr">
        <is>
          <t>2026-03</t>
        </is>
      </c>
      <c r="I269" s="46" t="inlineStr">
        <is>
          <t>PL784</t>
        </is>
      </c>
      <c r="J269" s="46" t="inlineStr">
        <is>
          <t>D - รอผล</t>
        </is>
      </c>
      <c r="K269" s="46" t="inlineStr">
        <is>
          <t>—</t>
        </is>
      </c>
      <c r="L269" s="47" t="inlineStr">
        <is>
          <t>⚪ รอสอบถาม</t>
        </is>
      </c>
    </row>
    <row r="270" ht="14" customHeight="1">
      <c r="A270" s="46" t="n">
        <v>267</v>
      </c>
      <c r="B270" s="47" t="inlineStr">
        <is>
          <t>บรอดัส โปรเจก</t>
        </is>
      </c>
      <c r="C270" s="46" t="inlineStr">
        <is>
          <t>B2B อื่นๆ</t>
        </is>
      </c>
      <c r="D270" s="46" t="n">
        <v>1</v>
      </c>
      <c r="E270" s="78" t="n">
        <v>2824.8</v>
      </c>
      <c r="F270" s="46" t="inlineStr">
        <is>
          <t>0.0%</t>
        </is>
      </c>
      <c r="G270" s="47" t="inlineStr">
        <is>
          <t>อื่นๆ</t>
        </is>
      </c>
      <c r="H270" s="46" t="inlineStr">
        <is>
          <t>2026-06</t>
        </is>
      </c>
      <c r="I270" s="46" t="inlineStr">
        <is>
          <t>PL916</t>
        </is>
      </c>
      <c r="J270" s="46" t="inlineStr">
        <is>
          <t>D - รอผล</t>
        </is>
      </c>
      <c r="K270" s="46" t="inlineStr">
        <is>
          <t>—</t>
        </is>
      </c>
      <c r="L270" s="47" t="inlineStr">
        <is>
          <t>⚪ รอสอบถาม</t>
        </is>
      </c>
    </row>
    <row r="271" ht="14" customHeight="1">
      <c r="A271" s="46" t="n">
        <v>268</v>
      </c>
      <c r="B271" s="47" t="inlineStr">
        <is>
          <t>พัธน พาร์ท</t>
        </is>
      </c>
      <c r="C271" s="46" t="inlineStr">
        <is>
          <t>B2B อื่นๆ</t>
        </is>
      </c>
      <c r="D271" s="46" t="n">
        <v>1</v>
      </c>
      <c r="E271" s="78" t="n">
        <v>1187.7</v>
      </c>
      <c r="F271" s="46" t="inlineStr">
        <is>
          <t>0.0%</t>
        </is>
      </c>
      <c r="G271" s="47" t="inlineStr">
        <is>
          <t>อื่นๆ</t>
        </is>
      </c>
      <c r="H271" s="46" t="inlineStr">
        <is>
          <t>2026-04</t>
        </is>
      </c>
      <c r="I271" s="46" t="inlineStr">
        <is>
          <t>PL844</t>
        </is>
      </c>
      <c r="J271" s="46" t="inlineStr">
        <is>
          <t>D - รอผล</t>
        </is>
      </c>
      <c r="K271" s="46" t="inlineStr">
        <is>
          <t>—</t>
        </is>
      </c>
      <c r="L271" s="47" t="inlineStr">
        <is>
          <t>⚪ รอสอบถาม</t>
        </is>
      </c>
    </row>
    <row r="272" ht="14" customHeight="1">
      <c r="A272" s="46" t="n">
        <v>269</v>
      </c>
      <c r="B272" s="47" t="inlineStr">
        <is>
          <t>ปิยบุตร</t>
        </is>
      </c>
      <c r="C272" s="46" t="inlineStr">
        <is>
          <t>B2B อื่นๆ</t>
        </is>
      </c>
      <c r="D272" s="46" t="n">
        <v>1</v>
      </c>
      <c r="E272" s="78" t="n">
        <v>0</v>
      </c>
      <c r="F272" s="46" t="inlineStr">
        <is>
          <t>0.0%</t>
        </is>
      </c>
      <c r="G272" s="47" t="inlineStr">
        <is>
          <t>อื่นๆ</t>
        </is>
      </c>
      <c r="H272" s="46" t="inlineStr">
        <is>
          <t>2026-03</t>
        </is>
      </c>
      <c r="I272" s="46" t="inlineStr">
        <is>
          <t>PL790</t>
        </is>
      </c>
      <c r="J272" s="46" t="inlineStr">
        <is>
          <t>D - รอผล</t>
        </is>
      </c>
      <c r="K272" s="46" t="inlineStr">
        <is>
          <t>—</t>
        </is>
      </c>
      <c r="L272" s="47" t="inlineStr">
        <is>
          <t>⚪ รอสอบถาม</t>
        </is>
      </c>
    </row>
    <row r="273" ht="14" customHeight="1">
      <c r="A273" s="46" t="n">
        <v>270</v>
      </c>
      <c r="B273" s="47" t="inlineStr">
        <is>
          <t>บ.เติมเนเจอร์</t>
        </is>
      </c>
      <c r="C273" s="46" t="inlineStr">
        <is>
          <t>B2B อื่นๆ</t>
        </is>
      </c>
      <c r="D273" s="46" t="n">
        <v>1</v>
      </c>
      <c r="E273" s="78" t="n">
        <v>0</v>
      </c>
      <c r="F273" s="46" t="inlineStr">
        <is>
          <t>0.0%</t>
        </is>
      </c>
      <c r="G273" s="47" t="inlineStr">
        <is>
          <t>เสาไฟถนน</t>
        </is>
      </c>
      <c r="H273" s="46" t="inlineStr">
        <is>
          <t>2026-04</t>
        </is>
      </c>
      <c r="I273" s="46" t="inlineStr">
        <is>
          <t>PL807</t>
        </is>
      </c>
      <c r="J273" s="46" t="inlineStr">
        <is>
          <t>D - รอผล</t>
        </is>
      </c>
      <c r="K273" s="46" t="inlineStr">
        <is>
          <t>—</t>
        </is>
      </c>
      <c r="L273" s="47" t="inlineStr">
        <is>
          <t>⚪ รอสอบถาม</t>
        </is>
      </c>
    </row>
    <row r="274" ht="14" customHeight="1">
      <c r="A274" s="46" t="n">
        <v>271</v>
      </c>
      <c r="B274" s="47" t="inlineStr">
        <is>
          <t>บ.โอเอชเอ็นไซน์</t>
        </is>
      </c>
      <c r="C274" s="46" t="inlineStr">
        <is>
          <t>B2B อื่นๆ</t>
        </is>
      </c>
      <c r="D274" s="46" t="n">
        <v>1</v>
      </c>
      <c r="E274" s="78" t="n">
        <v>0</v>
      </c>
      <c r="F274" s="46" t="inlineStr">
        <is>
          <t>0.0%</t>
        </is>
      </c>
      <c r="G274" s="47" t="inlineStr">
        <is>
          <t>อื่นๆ</t>
        </is>
      </c>
      <c r="H274" s="46" t="inlineStr">
        <is>
          <t>2026-04</t>
        </is>
      </c>
      <c r="I274" s="46" t="inlineStr">
        <is>
          <t>PL838</t>
        </is>
      </c>
      <c r="J274" s="46" t="inlineStr">
        <is>
          <t>D - รอผล</t>
        </is>
      </c>
      <c r="K274" s="46" t="inlineStr">
        <is>
          <t>—</t>
        </is>
      </c>
      <c r="L274" s="47" t="inlineStr">
        <is>
          <t>⚪ รอสอบถาม</t>
        </is>
      </c>
    </row>
    <row r="275" ht="14" customHeight="1">
      <c r="A275" s="46" t="n">
        <v>272</v>
      </c>
      <c r="B275" s="47" t="inlineStr">
        <is>
          <t>บริษัท ธันเดอร์ เกียร์ (ประเทศไทย) จำกัด</t>
        </is>
      </c>
      <c r="C275" s="46" t="inlineStr">
        <is>
          <t>B2B บริษัท</t>
        </is>
      </c>
      <c r="D275" s="46" t="n">
        <v>1</v>
      </c>
      <c r="E275" s="78" t="n">
        <v>0</v>
      </c>
      <c r="F275" s="46" t="inlineStr">
        <is>
          <t>0.0%</t>
        </is>
      </c>
      <c r="G275" s="47" t="inlineStr">
        <is>
          <t>High Mast</t>
        </is>
      </c>
      <c r="H275" s="46" t="inlineStr">
        <is>
          <t>2026-06</t>
        </is>
      </c>
      <c r="I275" s="46" t="inlineStr">
        <is>
          <t>PL914</t>
        </is>
      </c>
      <c r="J275" s="46" t="inlineStr">
        <is>
          <t>D - รอผล</t>
        </is>
      </c>
      <c r="K275" s="46" t="inlineStr">
        <is>
          <t>—</t>
        </is>
      </c>
      <c r="L275" s="47" t="inlineStr">
        <is>
          <t>⚪ รอสอบถาม</t>
        </is>
      </c>
    </row>
    <row r="276" ht="14" customHeight="1">
      <c r="A276" s="46" t="n">
        <v>273</v>
      </c>
      <c r="B276" s="47" t="inlineStr">
        <is>
          <t>บ.คินเดน</t>
        </is>
      </c>
      <c r="C276" s="46" t="inlineStr">
        <is>
          <t>B2B อื่นๆ</t>
        </is>
      </c>
      <c r="D276" s="46" t="n">
        <v>1</v>
      </c>
      <c r="E276" s="78" t="n">
        <v>0</v>
      </c>
      <c r="F276" s="46" t="inlineStr">
        <is>
          <t>0.0%</t>
        </is>
      </c>
      <c r="G276" s="47" t="inlineStr">
        <is>
          <t>อื่นๆ</t>
        </is>
      </c>
      <c r="H276" s="46" t="inlineStr">
        <is>
          <t>2026-06</t>
        </is>
      </c>
      <c r="I276" s="46" t="inlineStr">
        <is>
          <t>PL931</t>
        </is>
      </c>
      <c r="J276" s="46" t="inlineStr">
        <is>
          <t>D - รอผล</t>
        </is>
      </c>
      <c r="K276" s="46" t="inlineStr">
        <is>
          <t>—</t>
        </is>
      </c>
      <c r="L276" s="47" t="inlineStr">
        <is>
          <t>⚪ รอสอบถาม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/>
  </sheetPr>
  <dimension ref="A1:G42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20" customWidth="1" min="4" max="4"/>
    <col width="16" customWidth="1" min="5" max="5"/>
    <col width="14" customWidth="1" min="6" max="6"/>
    <col width="16" customWidth="1" min="7" max="7"/>
  </cols>
  <sheetData>
    <row r="1" ht="22" customHeight="1">
      <c r="A1" s="1" t="inlineStr">
        <is>
          <t xml:space="preserve">  LeKise  |  กลุ่มงาน EGAT / DOA / ZETA-iOT / อปท. Supply  |  16 มิ.ย. 2569</t>
        </is>
      </c>
    </row>
    <row r="2" ht="6" customHeight="1"/>
    <row r="3" ht="18" customHeight="1">
      <c r="A3" s="79" t="inlineStr">
        <is>
          <t>🏭 กลุ่มงาน EGAT (การไฟฟ้าฝ่ายผลิต) — รวม บ.โกลว์ พาวเวอร์ เทคโนโลยี จำกัด  |  3 รายการ  |  2.26M ฿</t>
        </is>
      </c>
    </row>
    <row r="4" ht="22" customHeight="1">
      <c r="A4" s="80" t="inlineStr">
        <is>
          <t>#</t>
        </is>
      </c>
      <c r="B4" s="80" t="inlineStr">
        <is>
          <t>ชื่อลูกค้า</t>
        </is>
      </c>
      <c r="C4" s="80" t="inlineStr">
        <is>
          <t>เดือน</t>
        </is>
      </c>
      <c r="D4" s="80" t="inlineStr">
        <is>
          <t>สินค้าหลัก</t>
        </is>
      </c>
      <c r="E4" s="80" t="inlineStr">
        <is>
          <t>PL No.</t>
        </is>
      </c>
      <c r="F4" s="80" t="inlineStr">
        <is>
          <t>ก่อน VAT</t>
        </is>
      </c>
      <c r="G4" s="80" t="inlineStr">
        <is>
          <t>รวม incl VAT</t>
        </is>
      </c>
    </row>
    <row r="5" ht="14" customHeight="1">
      <c r="A5" s="81" t="n">
        <v>1</v>
      </c>
      <c r="B5" s="82" t="inlineStr">
        <is>
          <t>บริษัท โกลว์ พาวเวอร์ เทคโนโลยี จำกัด-EGATJOB1 R01</t>
        </is>
      </c>
      <c r="C5" s="81" t="inlineStr">
        <is>
          <t>2026-01</t>
        </is>
      </c>
      <c r="D5" s="82" t="inlineStr">
        <is>
          <t>Pole With Bracket 5M-T4-TR</t>
        </is>
      </c>
      <c r="E5" s="81" t="inlineStr">
        <is>
          <t>PL639</t>
        </is>
      </c>
      <c r="F5" s="83" t="n">
        <v>405150</v>
      </c>
      <c r="G5" s="83" t="n">
        <v>433510.5</v>
      </c>
    </row>
    <row r="6" ht="14" customHeight="1">
      <c r="A6" s="84" t="n">
        <v>2</v>
      </c>
      <c r="B6" s="85" t="inlineStr">
        <is>
          <t>บริษัท โกลว์ พาวเวอร์ เทคโนโลยี จำกัด-EGATJOB2 R2</t>
        </is>
      </c>
      <c r="C6" s="84" t="inlineStr">
        <is>
          <t>2026-01</t>
        </is>
      </c>
      <c r="D6" s="85" t="inlineStr">
        <is>
          <t>อื่นๆ</t>
        </is>
      </c>
      <c r="E6" s="84" t="inlineStr">
        <is>
          <t>PL640</t>
        </is>
      </c>
      <c r="F6" s="86" t="n">
        <v>487450</v>
      </c>
      <c r="G6" s="86" t="n">
        <v>521571.5</v>
      </c>
    </row>
    <row r="7" ht="14" customHeight="1">
      <c r="A7" s="81" t="n">
        <v>3</v>
      </c>
      <c r="B7" s="82" t="inlineStr">
        <is>
          <t>บริษัท โกลว์ พาวเวอร์ เทคโนโลยี จำกัด</t>
        </is>
      </c>
      <c r="C7" s="81" t="inlineStr">
        <is>
          <t>2026-05</t>
        </is>
      </c>
      <c r="D7" s="82" t="inlineStr">
        <is>
          <t>อื่นๆ</t>
        </is>
      </c>
      <c r="E7" s="81" t="inlineStr">
        <is>
          <t>PL875</t>
        </is>
      </c>
      <c r="F7" s="83" t="n">
        <v>1218700</v>
      </c>
      <c r="G7" s="83" t="n">
        <v>1304009</v>
      </c>
    </row>
    <row r="8" ht="16" customHeight="1">
      <c r="A8" s="87" t="inlineStr">
        <is>
          <t>รวม EGAT</t>
        </is>
      </c>
      <c r="F8" s="88" t="n">
        <v>2111300</v>
      </c>
      <c r="G8" s="88" t="n">
        <v>2259091</v>
      </c>
    </row>
    <row r="10" ht="18" customHeight="1">
      <c r="A10" s="89" t="inlineStr">
        <is>
          <t>🌾 กลุ่มงาน DOA (กรมวิชาการเกษตร) — ควินตัส / เดลต้า พลัส / เจมินี เทค  |  6 รายการ  |  3.07M ฿</t>
        </is>
      </c>
    </row>
    <row r="11" ht="22" customHeight="1">
      <c r="A11" s="90" t="inlineStr">
        <is>
          <t>#</t>
        </is>
      </c>
      <c r="B11" s="90" t="inlineStr">
        <is>
          <t>ชื่อลูกค้า</t>
        </is>
      </c>
      <c r="C11" s="90" t="inlineStr">
        <is>
          <t>เดือน</t>
        </is>
      </c>
      <c r="D11" s="90" t="inlineStr">
        <is>
          <t>สินค้าหลัก</t>
        </is>
      </c>
      <c r="E11" s="90" t="inlineStr">
        <is>
          <t>PL No.</t>
        </is>
      </c>
      <c r="F11" s="90" t="inlineStr">
        <is>
          <t>ก่อน VAT</t>
        </is>
      </c>
      <c r="G11" s="90" t="inlineStr">
        <is>
          <t>รวม incl VAT</t>
        </is>
      </c>
    </row>
    <row r="12" ht="14" customHeight="1">
      <c r="A12" s="81" t="n">
        <v>1</v>
      </c>
      <c r="B12" s="82" t="inlineStr">
        <is>
          <t>บ.ควินตัส แอดวานซ์</t>
        </is>
      </c>
      <c r="C12" s="81" t="inlineStr">
        <is>
          <t>2026-03</t>
        </is>
      </c>
      <c r="D12" s="82" t="inlineStr">
        <is>
          <t>High Mast 25M+Support 3ชั้น H1400 L</t>
        </is>
      </c>
      <c r="E12" s="81" t="inlineStr">
        <is>
          <t>PL772</t>
        </is>
      </c>
      <c r="F12" s="83" t="n">
        <v>1299540</v>
      </c>
      <c r="G12" s="83" t="n">
        <v>1390507.8</v>
      </c>
    </row>
    <row r="13" ht="14" customHeight="1">
      <c r="A13" s="38" t="n">
        <v>2</v>
      </c>
      <c r="B13" s="39" t="inlineStr">
        <is>
          <t>บ.ควินตัส แอดวานซ์</t>
        </is>
      </c>
      <c r="C13" s="38" t="inlineStr">
        <is>
          <t>2026-04</t>
        </is>
      </c>
      <c r="D13" s="39" t="inlineStr">
        <is>
          <t>ชุดMotorขับวงแหวนขึ้นลง 3 เฟส</t>
        </is>
      </c>
      <c r="E13" s="38" t="inlineStr">
        <is>
          <t>PL822</t>
        </is>
      </c>
      <c r="F13" s="77" t="n">
        <v>66240</v>
      </c>
      <c r="G13" s="77" t="n">
        <v>70876.8</v>
      </c>
    </row>
    <row r="14" ht="14" customHeight="1">
      <c r="A14" s="81" t="n">
        <v>3</v>
      </c>
      <c r="B14" s="82" t="inlineStr">
        <is>
          <t>บ.เจมินี เทค กรมท่ากระบี่</t>
        </is>
      </c>
      <c r="C14" s="81" t="inlineStr">
        <is>
          <t>2026-04</t>
        </is>
      </c>
      <c r="D14" s="82" t="inlineStr">
        <is>
          <t>Pole With Bracket 9M-T4-TR</t>
        </is>
      </c>
      <c r="E14" s="81" t="inlineStr">
        <is>
          <t>PL824</t>
        </is>
      </c>
      <c r="F14" s="83" t="n">
        <v>589950</v>
      </c>
      <c r="G14" s="83" t="n">
        <v>631246.5</v>
      </c>
    </row>
    <row r="15" ht="14" customHeight="1">
      <c r="A15" s="38" t="n">
        <v>4</v>
      </c>
      <c r="B15" s="39" t="inlineStr">
        <is>
          <t>เดลต้า พลัส  ชุดเกียร์วินซ์คู่</t>
        </is>
      </c>
      <c r="C15" s="38" t="inlineStr">
        <is>
          <t>2026-05</t>
        </is>
      </c>
      <c r="D15" s="39" t="inlineStr">
        <is>
          <t>ชุดเกียรวินซคู+ซัพพอรตเกียร+ชุ</t>
        </is>
      </c>
      <c r="E15" s="38" t="inlineStr">
        <is>
          <t>PL851</t>
        </is>
      </c>
      <c r="F15" s="77" t="n">
        <v>118750</v>
      </c>
      <c r="G15" s="77" t="n">
        <v>127062.5</v>
      </c>
    </row>
    <row r="16" ht="14" customHeight="1">
      <c r="A16" s="81" t="n">
        <v>5</v>
      </c>
      <c r="B16" s="82" t="inlineStr">
        <is>
          <t>บ.เจมินี เทค กรมท่ากระบี่</t>
        </is>
      </c>
      <c r="C16" s="81" t="inlineStr">
        <is>
          <t>2026-05</t>
        </is>
      </c>
      <c r="D16" s="82" t="inlineStr">
        <is>
          <t>อื่นๆ</t>
        </is>
      </c>
      <c r="E16" s="81" t="inlineStr">
        <is>
          <t>PL909</t>
        </is>
      </c>
      <c r="F16" s="83" t="n">
        <v>350550</v>
      </c>
      <c r="G16" s="83" t="n">
        <v>375088.5</v>
      </c>
    </row>
    <row r="17" ht="14" customHeight="1">
      <c r="A17" s="38" t="n">
        <v>6</v>
      </c>
      <c r="B17" s="39" t="inlineStr">
        <is>
          <t>เดลต้า พลัส เอ็นจิเนียริ่ง</t>
        </is>
      </c>
      <c r="C17" s="38" t="inlineStr">
        <is>
          <t>2026-06</t>
        </is>
      </c>
      <c r="D17" s="39" t="inlineStr">
        <is>
          <t>High Mast 10M 6t+Support 2ชั้น H700</t>
        </is>
      </c>
      <c r="E17" s="38" t="inlineStr">
        <is>
          <t>PL923</t>
        </is>
      </c>
      <c r="F17" s="77" t="n">
        <v>440200</v>
      </c>
      <c r="G17" s="77" t="n">
        <v>471014</v>
      </c>
    </row>
    <row r="18" ht="16" customHeight="1">
      <c r="A18" s="91" t="inlineStr">
        <is>
          <t>รวม DOA</t>
        </is>
      </c>
      <c r="F18" s="92" t="n">
        <v>2865230</v>
      </c>
      <c r="G18" s="92" t="n">
        <v>3065796.1</v>
      </c>
    </row>
    <row r="20" ht="18" customHeight="1">
      <c r="A20" s="93" t="inlineStr">
        <is>
          <t>📡 กลุ่มงาน ZETA-iOT — ซีซีทีวี / ZETA-9 Cloud / คาแนล วัน  |  6 รายการ  |  2.17M ฿</t>
        </is>
      </c>
    </row>
    <row r="21" ht="22" customHeight="1">
      <c r="A21" s="25" t="inlineStr">
        <is>
          <t>#</t>
        </is>
      </c>
      <c r="B21" s="25" t="inlineStr">
        <is>
          <t>ชื่อลูกค้า</t>
        </is>
      </c>
      <c r="C21" s="25" t="inlineStr">
        <is>
          <t>เดือน</t>
        </is>
      </c>
      <c r="D21" s="25" t="inlineStr">
        <is>
          <t>สินค้าหลัก</t>
        </is>
      </c>
      <c r="E21" s="25" t="inlineStr">
        <is>
          <t>PL No.</t>
        </is>
      </c>
      <c r="F21" s="25" t="inlineStr">
        <is>
          <t>ก่อน VAT</t>
        </is>
      </c>
      <c r="G21" s="25" t="inlineStr">
        <is>
          <t>รวม incl VAT</t>
        </is>
      </c>
    </row>
    <row r="22" ht="14" customHeight="1">
      <c r="A22" s="81" t="n">
        <v>1</v>
      </c>
      <c r="B22" s="82" t="inlineStr">
        <is>
          <t>ZETA-SI / บริษัท ซีซีทีวี (ประเทศไทย) จำกัด</t>
        </is>
      </c>
      <c r="C22" s="81" t="inlineStr">
        <is>
          <t>2026-04</t>
        </is>
      </c>
      <c r="D22" s="82" t="inlineStr">
        <is>
          <t>อื่นๆ</t>
        </is>
      </c>
      <c r="E22" s="81" t="inlineStr">
        <is>
          <t>PL811</t>
        </is>
      </c>
      <c r="F22" s="83" t="n">
        <v>838750</v>
      </c>
      <c r="G22" s="83" t="n">
        <v>897462.5</v>
      </c>
    </row>
    <row r="23" ht="14" customHeight="1">
      <c r="A23" s="94" t="n">
        <v>2</v>
      </c>
      <c r="B23" s="95" t="inlineStr">
        <is>
          <t>ZETA-9 Cloud (Controller)</t>
        </is>
      </c>
      <c r="C23" s="94" t="inlineStr">
        <is>
          <t>2026-04</t>
        </is>
      </c>
      <c r="D23" s="95" t="inlineStr">
        <is>
          <t>อื่นๆ</t>
        </is>
      </c>
      <c r="E23" s="94" t="inlineStr">
        <is>
          <t>PL816</t>
        </is>
      </c>
      <c r="F23" s="96" t="n">
        <v>3750</v>
      </c>
      <c r="G23" s="96" t="n">
        <v>4012.5</v>
      </c>
    </row>
    <row r="24" ht="14" customHeight="1">
      <c r="A24" s="81" t="n">
        <v>3</v>
      </c>
      <c r="B24" s="82" t="inlineStr">
        <is>
          <t>SI / บริษัท ซีซีทีวี (ประเทศไทย) จำกัด</t>
        </is>
      </c>
      <c r="C24" s="81" t="inlineStr">
        <is>
          <t>2026-04</t>
        </is>
      </c>
      <c r="D24" s="82" t="inlineStr">
        <is>
          <t>อื่นๆ</t>
        </is>
      </c>
      <c r="E24" s="81" t="inlineStr">
        <is>
          <t>PL817</t>
        </is>
      </c>
      <c r="F24" s="83" t="n">
        <v>838750</v>
      </c>
      <c r="G24" s="83" t="n">
        <v>897462.5</v>
      </c>
    </row>
    <row r="25" ht="14" customHeight="1">
      <c r="A25" s="94" t="n">
        <v>4</v>
      </c>
      <c r="B25" s="95" t="inlineStr">
        <is>
          <t>บริษัท ซีซีทีวี (ประเทศไทย) จำกัด</t>
        </is>
      </c>
      <c r="C25" s="94" t="inlineStr">
        <is>
          <t>2026-04</t>
        </is>
      </c>
      <c r="D25" s="95" t="inlineStr">
        <is>
          <t>Adaptor L200 OD60.5x4t Rev.01</t>
        </is>
      </c>
      <c r="E25" s="94" t="inlineStr">
        <is>
          <t>PL827</t>
        </is>
      </c>
      <c r="F25" s="96" t="n">
        <v>128250</v>
      </c>
      <c r="G25" s="96" t="n">
        <v>137227.5</v>
      </c>
    </row>
    <row r="26" ht="14" customHeight="1">
      <c r="A26" s="81" t="n">
        <v>5</v>
      </c>
      <c r="B26" s="82" t="inlineStr">
        <is>
          <t>SI / บริษัท ซีซีทีวี (ประเทศไทย) จำกัด</t>
        </is>
      </c>
      <c r="C26" s="81" t="inlineStr">
        <is>
          <t>2026-04</t>
        </is>
      </c>
      <c r="D26" s="82" t="inlineStr">
        <is>
          <t>Street Light Cover E27</t>
        </is>
      </c>
      <c r="E26" s="81" t="inlineStr">
        <is>
          <t>PL847</t>
        </is>
      </c>
      <c r="F26" s="83" t="n">
        <v>21350</v>
      </c>
      <c r="G26" s="83" t="n">
        <v>22844.5</v>
      </c>
    </row>
    <row r="27" ht="14" customHeight="1">
      <c r="A27" s="94" t="n">
        <v>6</v>
      </c>
      <c r="B27" s="95" t="inlineStr">
        <is>
          <t>ZETA-9 Cloud / บริษัท คาแนล วัน จำกัด</t>
        </is>
      </c>
      <c r="C27" s="94" t="inlineStr">
        <is>
          <t>2026-05</t>
        </is>
      </c>
      <c r="D27" s="95" t="inlineStr">
        <is>
          <t>อื่นๆ</t>
        </is>
      </c>
      <c r="E27" s="94" t="inlineStr">
        <is>
          <t>PL911</t>
        </is>
      </c>
      <c r="F27" s="96" t="n">
        <v>193050</v>
      </c>
      <c r="G27" s="96" t="n">
        <v>206563.5</v>
      </c>
    </row>
    <row r="28" ht="16" customHeight="1">
      <c r="A28" s="97" t="inlineStr">
        <is>
          <t>รวม ZETA-iOT</t>
        </is>
      </c>
      <c r="F28" s="98" t="n">
        <v>2023900</v>
      </c>
      <c r="G28" s="98" t="n">
        <v>2165573</v>
      </c>
    </row>
    <row r="30" ht="18" customHeight="1">
      <c r="A30" s="99" t="inlineStr">
        <is>
          <t>🏛️ กลุ่มงาน อปท. Supply — เค บี เอ็ม เทคโนโลยี จำกัด  |  10 รายการ  |  5.82M ฿</t>
        </is>
      </c>
    </row>
    <row r="31" ht="22" customHeight="1">
      <c r="A31" s="100" t="inlineStr">
        <is>
          <t>#</t>
        </is>
      </c>
      <c r="B31" s="100" t="inlineStr">
        <is>
          <t>ชื่อลูกค้า</t>
        </is>
      </c>
      <c r="C31" s="100" t="inlineStr">
        <is>
          <t>เดือน</t>
        </is>
      </c>
      <c r="D31" s="100" t="inlineStr">
        <is>
          <t>สินค้าหลัก</t>
        </is>
      </c>
      <c r="E31" s="100" t="inlineStr">
        <is>
          <t>PL No.</t>
        </is>
      </c>
      <c r="F31" s="100" t="inlineStr">
        <is>
          <t>ก่อน VAT</t>
        </is>
      </c>
      <c r="G31" s="100" t="inlineStr">
        <is>
          <t>รวม incl VAT</t>
        </is>
      </c>
    </row>
    <row r="32" ht="14" customHeight="1">
      <c r="A32" s="81" t="n">
        <v>1</v>
      </c>
      <c r="B32" s="82" t="inlineStr">
        <is>
          <t>เค บี เอ็ม</t>
        </is>
      </c>
      <c r="C32" s="81" t="inlineStr">
        <is>
          <t>2026-01</t>
        </is>
      </c>
      <c r="D32" s="82" t="inlineStr">
        <is>
          <t>ชุดวายริ่งสายไฟเขา 6 ดวงโคม</t>
        </is>
      </c>
      <c r="E32" s="81" t="inlineStr">
        <is>
          <t>PL624</t>
        </is>
      </c>
      <c r="F32" s="83" t="n">
        <v>145608.4</v>
      </c>
      <c r="G32" s="83" t="n">
        <v>155800.99</v>
      </c>
    </row>
    <row r="33" ht="14" customHeight="1">
      <c r="A33" s="101" t="n">
        <v>2</v>
      </c>
      <c r="B33" s="102" t="inlineStr">
        <is>
          <t>เค บี เอ็ม</t>
        </is>
      </c>
      <c r="C33" s="101" t="inlineStr">
        <is>
          <t>2026-01</t>
        </is>
      </c>
      <c r="D33" s="102" t="inlineStr">
        <is>
          <t>High mast Pole 20 M วงแหวน 8 โคม เห</t>
        </is>
      </c>
      <c r="E33" s="101" t="inlineStr">
        <is>
          <t>PL649</t>
        </is>
      </c>
      <c r="F33" s="103" t="n">
        <v>162660.4</v>
      </c>
      <c r="G33" s="103" t="n">
        <v>174046.63</v>
      </c>
    </row>
    <row r="34" ht="14" customHeight="1">
      <c r="A34" s="81" t="n">
        <v>3</v>
      </c>
      <c r="B34" s="82" t="inlineStr">
        <is>
          <t>เค บี เอ็ม</t>
        </is>
      </c>
      <c r="C34" s="81" t="inlineStr">
        <is>
          <t>2026-04</t>
        </is>
      </c>
      <c r="D34" s="82" t="inlineStr">
        <is>
          <t>Ground Rod for hightmass pole</t>
        </is>
      </c>
      <c r="E34" s="81" t="inlineStr">
        <is>
          <t>PL831</t>
        </is>
      </c>
      <c r="F34" s="83" t="n">
        <v>133344</v>
      </c>
      <c r="G34" s="83" t="n">
        <v>142678.08</v>
      </c>
    </row>
    <row r="35" ht="14" customHeight="1">
      <c r="A35" s="101" t="n">
        <v>4</v>
      </c>
      <c r="B35" s="102" t="inlineStr">
        <is>
          <t>เค บี เอ็ม  เสา HM 30ม.</t>
        </is>
      </c>
      <c r="C35" s="101" t="inlineStr">
        <is>
          <t>2026-05</t>
        </is>
      </c>
      <c r="D35" s="102" t="inlineStr">
        <is>
          <t>High mast Pole 30 M วงแหวน 8 โคม เห</t>
        </is>
      </c>
      <c r="E35" s="101" t="inlineStr">
        <is>
          <t>PL856</t>
        </is>
      </c>
      <c r="F35" s="103" t="n">
        <v>342216</v>
      </c>
      <c r="G35" s="103" t="n">
        <v>366171.12</v>
      </c>
    </row>
    <row r="36" ht="14" customHeight="1">
      <c r="A36" s="81" t="n">
        <v>5</v>
      </c>
      <c r="B36" s="82" t="inlineStr">
        <is>
          <t>เค บี เอ็ม 15 ม.</t>
        </is>
      </c>
      <c r="C36" s="81" t="inlineStr">
        <is>
          <t>2026-05</t>
        </is>
      </c>
      <c r="D36" s="82" t="inlineStr">
        <is>
          <t>High mast Pole 15 M วงแหวน 6โคม</t>
        </is>
      </c>
      <c r="E36" s="81" t="inlineStr">
        <is>
          <t>PL864</t>
        </is>
      </c>
      <c r="F36" s="83" t="n">
        <v>330064</v>
      </c>
      <c r="G36" s="83" t="n">
        <v>353168.48</v>
      </c>
    </row>
    <row r="37" ht="14" customHeight="1">
      <c r="A37" s="101" t="n">
        <v>6</v>
      </c>
      <c r="B37" s="102" t="inlineStr">
        <is>
          <t>เค บี เอ็ม</t>
        </is>
      </c>
      <c r="C37" s="101" t="inlineStr">
        <is>
          <t>2026-05</t>
        </is>
      </c>
      <c r="D37" s="102" t="inlineStr">
        <is>
          <t>อื่นๆ</t>
        </is>
      </c>
      <c r="E37" s="101" t="inlineStr">
        <is>
          <t>PL886</t>
        </is>
      </c>
      <c r="F37" s="103" t="n">
        <v>70716.8</v>
      </c>
      <c r="G37" s="103" t="n">
        <v>75666.98</v>
      </c>
    </row>
    <row r="38" ht="14" customHeight="1">
      <c r="A38" s="81" t="n">
        <v>7</v>
      </c>
      <c r="B38" s="82" t="inlineStr">
        <is>
          <t>เค บี เอ็ม</t>
        </is>
      </c>
      <c r="C38" s="81" t="inlineStr">
        <is>
          <t>2026-05</t>
        </is>
      </c>
      <c r="D38" s="82" t="inlineStr">
        <is>
          <t>โคมกันนํ้ากันฝุน FT-TUBEPROTECT/VE</t>
        </is>
      </c>
      <c r="E38" s="81" t="inlineStr">
        <is>
          <t>PL891</t>
        </is>
      </c>
      <c r="F38" s="83" t="n">
        <v>7497</v>
      </c>
      <c r="G38" s="83" t="n">
        <v>8021.79</v>
      </c>
    </row>
    <row r="39" ht="14" customHeight="1">
      <c r="A39" s="101" t="n">
        <v>8</v>
      </c>
      <c r="B39" s="102" t="inlineStr">
        <is>
          <t>เค บี เอ็ม 15ม.</t>
        </is>
      </c>
      <c r="C39" s="101" t="inlineStr">
        <is>
          <t>2026-05</t>
        </is>
      </c>
      <c r="D39" s="102" t="inlineStr">
        <is>
          <t>High Mast 15M วงแหวน 8 โคม 11 ลอน</t>
        </is>
      </c>
      <c r="E39" s="101" t="inlineStr">
        <is>
          <t>PL905</t>
        </is>
      </c>
      <c r="F39" s="103" t="n">
        <v>711872</v>
      </c>
      <c r="G39" s="103" t="n">
        <v>761703.04</v>
      </c>
    </row>
    <row r="40" ht="14" customHeight="1">
      <c r="A40" s="81" t="n">
        <v>9</v>
      </c>
      <c r="B40" s="82" t="inlineStr">
        <is>
          <t>เค บี เอ็ม _25ม. 15</t>
        </is>
      </c>
      <c r="C40" s="81" t="inlineStr">
        <is>
          <t>2026-05</t>
        </is>
      </c>
      <c r="D40" s="82" t="inlineStr">
        <is>
          <t xml:space="preserve">High Mast 25 M + Stadium 3 ชั้น 15 </t>
        </is>
      </c>
      <c r="E40" s="81" t="inlineStr">
        <is>
          <t>PL908</t>
        </is>
      </c>
      <c r="F40" s="83" t="n">
        <v>2567600</v>
      </c>
      <c r="G40" s="83" t="n">
        <v>2747332</v>
      </c>
    </row>
    <row r="41" ht="14" customHeight="1">
      <c r="A41" s="101" t="n">
        <v>10</v>
      </c>
      <c r="B41" s="102" t="inlineStr">
        <is>
          <t>เค บี เอ็ม   18ม.</t>
        </is>
      </c>
      <c r="C41" s="101" t="inlineStr">
        <is>
          <t>2026-06</t>
        </is>
      </c>
      <c r="D41" s="102" t="inlineStr">
        <is>
          <t>Set L-Bolt M32 L800 PCD619</t>
        </is>
      </c>
      <c r="E41" s="101" t="inlineStr">
        <is>
          <t>PL933</t>
        </is>
      </c>
      <c r="F41" s="103" t="n">
        <v>967260</v>
      </c>
      <c r="G41" s="103" t="n">
        <v>1034968.2</v>
      </c>
    </row>
    <row r="42" ht="16" customHeight="1">
      <c r="A42" s="104" t="inlineStr">
        <is>
          <t>รวม อปท. Supply</t>
        </is>
      </c>
      <c r="F42" s="105" t="n">
        <v>5438838.6</v>
      </c>
      <c r="G42" s="105" t="n">
        <v>5819557.31</v>
      </c>
    </row>
  </sheetData>
  <mergeCells count="9">
    <mergeCell ref="A1:G1"/>
    <mergeCell ref="A3:G3"/>
    <mergeCell ref="A28:E28"/>
    <mergeCell ref="A42:E42"/>
    <mergeCell ref="A20:G20"/>
    <mergeCell ref="A30:G30"/>
    <mergeCell ref="A8:E8"/>
    <mergeCell ref="A18:E18"/>
    <mergeCell ref="A10:G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360C"/>
    <outlinePr summaryBelow="1" summaryRight="1"/>
    <pageSetUpPr/>
  </sheetPr>
  <dimension ref="A1:J2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10" customWidth="1" min="4" max="4"/>
    <col width="35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2" customHeight="1">
      <c r="A1" s="1" t="inlineStr">
        <is>
          <t xml:space="preserve">  LeKise  |  Guard Rail / การ์ดเรล  |  21 รายการ  |  17.26M ฿  |  16 มิ.ย. 2569</t>
        </is>
      </c>
    </row>
    <row r="2" ht="6" customHeight="1"/>
    <row r="3" ht="18" customHeight="1">
      <c r="A3" s="106" t="inlineStr">
        <is>
          <t>Pipeline Guard Rail รวม: 17.26M ฿  |  21 รายการ</t>
        </is>
      </c>
    </row>
    <row r="4" ht="28" customHeight="1">
      <c r="A4" s="107" t="inlineStr">
        <is>
          <t>#</t>
        </is>
      </c>
      <c r="B4" s="107" t="inlineStr">
        <is>
          <t>ชื่อลูกค้า</t>
        </is>
      </c>
      <c r="C4" s="107" t="inlineStr">
        <is>
          <t>เดือน</t>
        </is>
      </c>
      <c r="D4" s="107" t="inlineStr">
        <is>
          <t>PL No.</t>
        </is>
      </c>
      <c r="E4" s="107" t="inlineStr">
        <is>
          <t>สินค้า</t>
        </is>
      </c>
      <c r="F4" s="107" t="inlineStr">
        <is>
          <t>ก่อน VAT (฿)</t>
        </is>
      </c>
      <c r="G4" s="107" t="inlineStr">
        <is>
          <t>VAT 7%</t>
        </is>
      </c>
      <c r="H4" s="107" t="inlineStr">
        <is>
          <t>รวม incl VAT</t>
        </is>
      </c>
      <c r="I4" s="107" t="inlineStr">
        <is>
          <t>สถานะ (Auto)</t>
        </is>
      </c>
      <c r="J4" s="107" t="inlineStr">
        <is>
          <t>กลุ่มงาน</t>
        </is>
      </c>
    </row>
    <row r="5" ht="14" customHeight="1">
      <c r="A5" s="50" t="n">
        <v>1</v>
      </c>
      <c r="B5" s="51" t="inlineStr">
        <is>
          <t>ห้างหุ้นส่วนจำกัด สมบูรณ์อิเล็กทริค หนองบัวลำภู</t>
        </is>
      </c>
      <c r="C5" s="50" t="inlineStr">
        <is>
          <t>2026-05</t>
        </is>
      </c>
      <c r="D5" s="50" t="inlineStr">
        <is>
          <t>PL874</t>
        </is>
      </c>
      <c r="E5" s="51" t="inlineStr">
        <is>
          <t>เสาการดเรล OD100 H2.0M</t>
        </is>
      </c>
      <c r="F5" s="75" t="n">
        <v>6406701</v>
      </c>
      <c r="G5" s="75" t="n">
        <v>448469.07</v>
      </c>
      <c r="H5" s="75" t="n">
        <v>6855170.07</v>
      </c>
      <c r="I5" s="50" t="inlineStr">
        <is>
          <t>🔥 ร้อน</t>
        </is>
      </c>
      <c r="J5" s="50" t="inlineStr">
        <is>
          <t>—</t>
        </is>
      </c>
    </row>
    <row r="6" ht="14" customHeight="1">
      <c r="A6" s="50" t="n">
        <v>2</v>
      </c>
      <c r="B6" s="51" t="inlineStr">
        <is>
          <t>เบตเตอร์ เวิร์ลด</t>
        </is>
      </c>
      <c r="C6" s="50" t="inlineStr">
        <is>
          <t>2026-05</t>
        </is>
      </c>
      <c r="D6" s="50" t="inlineStr">
        <is>
          <t>PL850</t>
        </is>
      </c>
      <c r="E6" s="51" t="inlineStr">
        <is>
          <t>เสาการดเรล OD100 H2.0M (เชื่อมเพลท)</t>
        </is>
      </c>
      <c r="F6" s="75" t="n">
        <v>3587699.64</v>
      </c>
      <c r="G6" s="75" t="n">
        <v>251138.97</v>
      </c>
      <c r="H6" s="75" t="n">
        <v>3838838.61</v>
      </c>
      <c r="I6" s="50" t="inlineStr">
        <is>
          <t>🔥 ร้อน</t>
        </is>
      </c>
      <c r="J6" s="50" t="inlineStr">
        <is>
          <t>—</t>
        </is>
      </c>
    </row>
    <row r="7" ht="14" customHeight="1">
      <c r="A7" s="42" t="n">
        <v>3</v>
      </c>
      <c r="B7" s="43" t="inlineStr">
        <is>
          <t>บ.ยูเนียน ทราฟฟิค</t>
        </is>
      </c>
      <c r="C7" s="42" t="inlineStr">
        <is>
          <t>2026-04</t>
        </is>
      </c>
      <c r="D7" s="42" t="inlineStr">
        <is>
          <t>PL837</t>
        </is>
      </c>
      <c r="E7" s="43" t="inlineStr">
        <is>
          <t>เสาการดเรล OD100 H2.0M</t>
        </is>
      </c>
      <c r="F7" s="76" t="n">
        <v>1966887.44</v>
      </c>
      <c r="G7" s="76" t="n">
        <v>137682.12</v>
      </c>
      <c r="H7" s="76" t="n">
        <v>2104569.56</v>
      </c>
      <c r="I7" s="42" t="inlineStr">
        <is>
          <t>📞 ติดตาม-High</t>
        </is>
      </c>
      <c r="J7" s="42" t="inlineStr">
        <is>
          <t>—</t>
        </is>
      </c>
    </row>
    <row r="8" ht="14" customHeight="1">
      <c r="A8" s="108" t="n">
        <v>4</v>
      </c>
      <c r="B8" s="109" t="inlineStr">
        <is>
          <t>อี อี เอส ที เรซซิ่ง 2.5</t>
        </is>
      </c>
      <c r="C8" s="108" t="inlineStr">
        <is>
          <t>2026-05</t>
        </is>
      </c>
      <c r="D8" s="108" t="inlineStr">
        <is>
          <t>PL901</t>
        </is>
      </c>
      <c r="E8" s="109" t="inlineStr">
        <is>
          <t>เสาการดเรล OD100 H2.0M</t>
        </is>
      </c>
      <c r="F8" s="110" t="n">
        <v>867167.7</v>
      </c>
      <c r="G8" s="110" t="n">
        <v>60701.74</v>
      </c>
      <c r="H8" s="110" t="n">
        <v>927869.4399999999</v>
      </c>
      <c r="I8" s="108" t="inlineStr">
        <is>
          <t>📋 ติดตาม</t>
        </is>
      </c>
      <c r="J8" s="108" t="inlineStr">
        <is>
          <t>—</t>
        </is>
      </c>
    </row>
    <row r="9" ht="14" customHeight="1">
      <c r="A9" s="81" t="n">
        <v>5</v>
      </c>
      <c r="B9" s="82" t="inlineStr">
        <is>
          <t>องค์การบริหารส่วนตำบลตาขัน</t>
        </is>
      </c>
      <c r="C9" s="81" t="inlineStr">
        <is>
          <t>2026-06</t>
        </is>
      </c>
      <c r="D9" s="81" t="inlineStr">
        <is>
          <t>PL939</t>
        </is>
      </c>
      <c r="E9" s="82" t="inlineStr">
        <is>
          <t>การ์ดเรล Ø60.3×3.2t สีเทา</t>
        </is>
      </c>
      <c r="F9" s="83" t="n">
        <v>845503.41</v>
      </c>
      <c r="G9" s="83" t="n">
        <v>59185.24</v>
      </c>
      <c r="H9" s="83" t="n">
        <v>904688.65</v>
      </c>
      <c r="I9" s="81" t="inlineStr">
        <is>
          <t>📋 ติดตาม</t>
        </is>
      </c>
      <c r="J9" s="81" t="inlineStr">
        <is>
          <t>—</t>
        </is>
      </c>
    </row>
    <row r="10" ht="14" customHeight="1">
      <c r="A10" s="108" t="n">
        <v>6</v>
      </c>
      <c r="B10" s="109" t="inlineStr">
        <is>
          <t>ส่องกิจก่อสร้าง  3.2</t>
        </is>
      </c>
      <c r="C10" s="108" t="inlineStr">
        <is>
          <t>2026-05</t>
        </is>
      </c>
      <c r="D10" s="108" t="inlineStr">
        <is>
          <t>PL881</t>
        </is>
      </c>
      <c r="E10" s="109" t="inlineStr">
        <is>
          <t>เสาการดเรล OD100 H2.0M</t>
        </is>
      </c>
      <c r="F10" s="110" t="n">
        <v>522547.76</v>
      </c>
      <c r="G10" s="110" t="n">
        <v>36578.34</v>
      </c>
      <c r="H10" s="110" t="n">
        <v>559126.1</v>
      </c>
      <c r="I10" s="108" t="inlineStr">
        <is>
          <t>📋 ติดตาม</t>
        </is>
      </c>
      <c r="J10" s="108" t="inlineStr">
        <is>
          <t>—</t>
        </is>
      </c>
    </row>
    <row r="11" ht="14" customHeight="1">
      <c r="A11" s="81" t="n">
        <v>7</v>
      </c>
      <c r="B11" s="82" t="inlineStr">
        <is>
          <t>สมบูรณ์อิเลคทริค หนองบัวลำภู</t>
        </is>
      </c>
      <c r="C11" s="81" t="inlineStr">
        <is>
          <t>2026-05</t>
        </is>
      </c>
      <c r="D11" s="81" t="inlineStr">
        <is>
          <t>PL871</t>
        </is>
      </c>
      <c r="E11" s="82" t="inlineStr">
        <is>
          <t>ชุดวายริ่งสายไฟเขา 6 ดวงโคม</t>
        </is>
      </c>
      <c r="F11" s="83" t="n">
        <v>299684</v>
      </c>
      <c r="G11" s="83" t="n">
        <v>20977.88</v>
      </c>
      <c r="H11" s="83" t="n">
        <v>320661.88</v>
      </c>
      <c r="I11" s="81" t="inlineStr">
        <is>
          <t>📋 ติดตาม</t>
        </is>
      </c>
      <c r="J11" s="81" t="inlineStr">
        <is>
          <t>—</t>
        </is>
      </c>
    </row>
    <row r="12" ht="14" customHeight="1">
      <c r="A12" s="108" t="n">
        <v>8</v>
      </c>
      <c r="B12" s="109" t="inlineStr">
        <is>
          <t>คุณนพกร</t>
        </is>
      </c>
      <c r="C12" s="108" t="inlineStr">
        <is>
          <t>2026-06</t>
        </is>
      </c>
      <c r="D12" s="108" t="inlineStr">
        <is>
          <t>PL936</t>
        </is>
      </c>
      <c r="E12" s="109" t="inlineStr">
        <is>
          <t>การ์ดเรล Ø48.3×2.5t สีขาว-แดง</t>
        </is>
      </c>
      <c r="F12" s="110" t="n">
        <v>299651.52</v>
      </c>
      <c r="G12" s="110" t="n">
        <v>20975.61</v>
      </c>
      <c r="H12" s="110" t="n">
        <v>320627.13</v>
      </c>
      <c r="I12" s="108" t="inlineStr">
        <is>
          <t>📋 ติดตาม</t>
        </is>
      </c>
      <c r="J12" s="108" t="inlineStr">
        <is>
          <t>—</t>
        </is>
      </c>
    </row>
    <row r="13" ht="14" customHeight="1">
      <c r="A13" s="81" t="n">
        <v>9</v>
      </c>
      <c r="B13" s="82" t="inlineStr">
        <is>
          <t>กัณฑพงษ์</t>
        </is>
      </c>
      <c r="C13" s="81" t="inlineStr">
        <is>
          <t>2026-02</t>
        </is>
      </c>
      <c r="D13" s="81" t="inlineStr">
        <is>
          <t>PL720</t>
        </is>
      </c>
      <c r="E13" s="82" t="inlineStr">
        <is>
          <t>Pole With Bracket 9M-T4-TR</t>
        </is>
      </c>
      <c r="F13" s="83" t="n">
        <v>232848</v>
      </c>
      <c r="G13" s="83" t="n">
        <v>16299.36</v>
      </c>
      <c r="H13" s="83" t="n">
        <v>249147.36</v>
      </c>
      <c r="I13" s="81" t="inlineStr">
        <is>
          <t>⚪ รอผล</t>
        </is>
      </c>
      <c r="J13" s="81" t="inlineStr">
        <is>
          <t>—</t>
        </is>
      </c>
    </row>
    <row r="14" ht="14" customHeight="1">
      <c r="A14" s="108" t="n">
        <v>10</v>
      </c>
      <c r="B14" s="109" t="inlineStr">
        <is>
          <t>นพพร สุมงคล  2.5</t>
        </is>
      </c>
      <c r="C14" s="108" t="inlineStr">
        <is>
          <t>2026-05</t>
        </is>
      </c>
      <c r="D14" s="108" t="inlineStr">
        <is>
          <t>PL865</t>
        </is>
      </c>
      <c r="E14" s="109" t="inlineStr">
        <is>
          <t>เสาการดเรล OD100 H2.0M</t>
        </is>
      </c>
      <c r="F14" s="110" t="n">
        <v>190686.44</v>
      </c>
      <c r="G14" s="110" t="n">
        <v>13348.05</v>
      </c>
      <c r="H14" s="110" t="n">
        <v>204034.49</v>
      </c>
      <c r="I14" s="108" t="inlineStr">
        <is>
          <t>⚪ รอผล</t>
        </is>
      </c>
      <c r="J14" s="108" t="inlineStr">
        <is>
          <t>—</t>
        </is>
      </c>
    </row>
    <row r="15" ht="14" customHeight="1">
      <c r="A15" s="81" t="n">
        <v>11</v>
      </c>
      <c r="B15" s="82" t="inlineStr">
        <is>
          <t>พรุดินนา ดีไซน์</t>
        </is>
      </c>
      <c r="C15" s="81" t="inlineStr">
        <is>
          <t>2026-06</t>
        </is>
      </c>
      <c r="D15" s="81" t="inlineStr">
        <is>
          <t>PL922</t>
        </is>
      </c>
      <c r="E15" s="82" t="inlineStr">
        <is>
          <t>เสาการดเรล OD100 H2.0M</t>
        </is>
      </c>
      <c r="F15" s="83" t="n">
        <v>182056.39</v>
      </c>
      <c r="G15" s="83" t="n">
        <v>12743.95</v>
      </c>
      <c r="H15" s="83" t="n">
        <v>194800.34</v>
      </c>
      <c r="I15" s="81" t="inlineStr">
        <is>
          <t>⚪ รอผล</t>
        </is>
      </c>
      <c r="J15" s="81" t="inlineStr">
        <is>
          <t>—</t>
        </is>
      </c>
    </row>
    <row r="16" ht="14" customHeight="1">
      <c r="A16" s="108" t="n">
        <v>12</v>
      </c>
      <c r="B16" s="109" t="inlineStr">
        <is>
          <t>วิภาสกฤต บำรุงพืช</t>
        </is>
      </c>
      <c r="C16" s="108" t="inlineStr">
        <is>
          <t>2026-05</t>
        </is>
      </c>
      <c r="D16" s="108" t="inlineStr">
        <is>
          <t>PL879</t>
        </is>
      </c>
      <c r="E16" s="109" t="inlineStr">
        <is>
          <t>เสาการดเรล OD100 H2.0M</t>
        </is>
      </c>
      <c r="F16" s="110" t="n">
        <v>178626.56</v>
      </c>
      <c r="G16" s="110" t="n">
        <v>12503.86</v>
      </c>
      <c r="H16" s="110" t="n">
        <v>191130.42</v>
      </c>
      <c r="I16" s="108" t="inlineStr">
        <is>
          <t>⚪ รอผล</t>
        </is>
      </c>
      <c r="J16" s="108" t="inlineStr">
        <is>
          <t>—</t>
        </is>
      </c>
    </row>
    <row r="17" ht="14" customHeight="1">
      <c r="A17" s="81" t="n">
        <v>13</v>
      </c>
      <c r="B17" s="82" t="inlineStr">
        <is>
          <t>ทูซิส ซัพพลาย</t>
        </is>
      </c>
      <c r="C17" s="81" t="inlineStr">
        <is>
          <t>2026-05</t>
        </is>
      </c>
      <c r="D17" s="81" t="inlineStr">
        <is>
          <t>PL903</t>
        </is>
      </c>
      <c r="E17" s="82" t="inlineStr">
        <is>
          <t>เสาการดเรล OD100 H2.0M</t>
        </is>
      </c>
      <c r="F17" s="83" t="n">
        <v>176946.84</v>
      </c>
      <c r="G17" s="83" t="n">
        <v>12386.28</v>
      </c>
      <c r="H17" s="83" t="n">
        <v>189333.12</v>
      </c>
      <c r="I17" s="81" t="inlineStr">
        <is>
          <t>⚪ รอผล</t>
        </is>
      </c>
      <c r="J17" s="81" t="inlineStr">
        <is>
          <t>—</t>
        </is>
      </c>
    </row>
    <row r="18" ht="14" customHeight="1">
      <c r="A18" s="108" t="n">
        <v>14</v>
      </c>
      <c r="B18" s="109" t="inlineStr">
        <is>
          <t>หจก.ธรรมรงรักษ์ เทรดดิ้ง</t>
        </is>
      </c>
      <c r="C18" s="108" t="inlineStr">
        <is>
          <t>2026-03</t>
        </is>
      </c>
      <c r="D18" s="108" t="inlineStr">
        <is>
          <t>PL757</t>
        </is>
      </c>
      <c r="E18" s="109" t="inlineStr">
        <is>
          <t>เสาการดเรล OD100 H2.0M</t>
        </is>
      </c>
      <c r="F18" s="110" t="n">
        <v>152878.04</v>
      </c>
      <c r="G18" s="110" t="n">
        <v>10701.46</v>
      </c>
      <c r="H18" s="110" t="n">
        <v>163579.5</v>
      </c>
      <c r="I18" s="108" t="inlineStr">
        <is>
          <t>⚪ รอผล</t>
        </is>
      </c>
      <c r="J18" s="108" t="inlineStr">
        <is>
          <t>—</t>
        </is>
      </c>
    </row>
    <row r="19" ht="14" customHeight="1">
      <c r="A19" s="81" t="n">
        <v>15</v>
      </c>
      <c r="B19" s="82" t="inlineStr">
        <is>
          <t>กู๊ดวิล บิวดิ้ง</t>
        </is>
      </c>
      <c r="C19" s="81" t="inlineStr">
        <is>
          <t>2026-04</t>
        </is>
      </c>
      <c r="D19" s="81" t="inlineStr">
        <is>
          <t>PL846</t>
        </is>
      </c>
      <c r="E19" s="82" t="inlineStr">
        <is>
          <t>เสาการดเรล OD100 H2.0M</t>
        </is>
      </c>
      <c r="F19" s="83" t="n">
        <v>117516.7</v>
      </c>
      <c r="G19" s="83" t="n">
        <v>8226.17</v>
      </c>
      <c r="H19" s="83" t="n">
        <v>125742.87</v>
      </c>
      <c r="I19" s="81" t="inlineStr">
        <is>
          <t>⚪ รอผล</t>
        </is>
      </c>
      <c r="J19" s="81" t="inlineStr">
        <is>
          <t>—</t>
        </is>
      </c>
    </row>
    <row r="20" ht="14" customHeight="1">
      <c r="A20" s="108" t="n">
        <v>16</v>
      </c>
      <c r="B20" s="109" t="inlineStr">
        <is>
          <t>เอส.เอส.ดี.อินเตอร์   2.5</t>
        </is>
      </c>
      <c r="C20" s="108" t="inlineStr">
        <is>
          <t>2026-05</t>
        </is>
      </c>
      <c r="D20" s="108" t="inlineStr">
        <is>
          <t>PL885</t>
        </is>
      </c>
      <c r="E20" s="109" t="inlineStr">
        <is>
          <t>เสาการดเรล OD100 H2.0M</t>
        </is>
      </c>
      <c r="F20" s="110" t="n">
        <v>43198.4</v>
      </c>
      <c r="G20" s="110" t="n">
        <v>3023.89</v>
      </c>
      <c r="H20" s="110" t="n">
        <v>46222.29</v>
      </c>
      <c r="I20" s="108" t="inlineStr">
        <is>
          <t>⚪ รอผล</t>
        </is>
      </c>
      <c r="J20" s="108" t="inlineStr">
        <is>
          <t>—</t>
        </is>
      </c>
    </row>
    <row r="21" ht="14" customHeight="1">
      <c r="A21" s="81" t="n">
        <v>17</v>
      </c>
      <c r="B21" s="82" t="inlineStr">
        <is>
          <t>บ.ธัญวลัยฐนกร</t>
        </is>
      </c>
      <c r="C21" s="81" t="inlineStr">
        <is>
          <t>2026-05</t>
        </is>
      </c>
      <c r="D21" s="81" t="inlineStr">
        <is>
          <t>PL858</t>
        </is>
      </c>
      <c r="E21" s="82" t="inlineStr">
        <is>
          <t>เสาการดเรล OD100 H2.0M</t>
        </is>
      </c>
      <c r="F21" s="83" t="n">
        <v>18539.64</v>
      </c>
      <c r="G21" s="83" t="n">
        <v>1297.77</v>
      </c>
      <c r="H21" s="83" t="n">
        <v>19837.41</v>
      </c>
      <c r="I21" s="81" t="inlineStr">
        <is>
          <t>⚪ รอผล</t>
        </is>
      </c>
      <c r="J21" s="81" t="inlineStr">
        <is>
          <t>—</t>
        </is>
      </c>
    </row>
    <row r="22" ht="14" customHeight="1">
      <c r="A22" s="108" t="n">
        <v>18</v>
      </c>
      <c r="B22" s="109" t="inlineStr">
        <is>
          <t>สวัสดีโฮมมาร์ท 2.5</t>
        </is>
      </c>
      <c r="C22" s="108" t="inlineStr">
        <is>
          <t>2026-05</t>
        </is>
      </c>
      <c r="D22" s="108" t="inlineStr">
        <is>
          <t>PL899</t>
        </is>
      </c>
      <c r="E22" s="109" t="inlineStr">
        <is>
          <t>Guard Rail / การ์ดเรล</t>
        </is>
      </c>
      <c r="F22" s="110" t="n">
        <v>16500</v>
      </c>
      <c r="G22" s="110" t="n">
        <v>1155</v>
      </c>
      <c r="H22" s="110" t="n">
        <v>17655</v>
      </c>
      <c r="I22" s="108" t="inlineStr">
        <is>
          <t>⚪ รอผล</t>
        </is>
      </c>
      <c r="J22" s="108" t="inlineStr">
        <is>
          <t>—</t>
        </is>
      </c>
    </row>
    <row r="23" ht="14" customHeight="1">
      <c r="A23" s="81" t="n">
        <v>19</v>
      </c>
      <c r="B23" s="82" t="inlineStr">
        <is>
          <t>บริษัท ทีเจริญ บิลด จำกัด</t>
        </is>
      </c>
      <c r="C23" s="81" t="inlineStr">
        <is>
          <t>2026-06</t>
        </is>
      </c>
      <c r="D23" s="81" t="inlineStr">
        <is>
          <t>PL944</t>
        </is>
      </c>
      <c r="E23" s="82" t="inlineStr">
        <is>
          <t>การ์ดเรล Ø48.3×2.5t (small lot)+ค่าส่ง</t>
        </is>
      </c>
      <c r="F23" s="83" t="n">
        <v>15765.28</v>
      </c>
      <c r="G23" s="83" t="n">
        <v>1103.57</v>
      </c>
      <c r="H23" s="83" t="n">
        <v>16868.85</v>
      </c>
      <c r="I23" s="81" t="inlineStr">
        <is>
          <t>⚪ รอผล</t>
        </is>
      </c>
      <c r="J23" s="81" t="inlineStr">
        <is>
          <t>—</t>
        </is>
      </c>
    </row>
    <row r="24" ht="14" customHeight="1">
      <c r="A24" s="108" t="n">
        <v>20</v>
      </c>
      <c r="B24" s="109" t="inlineStr">
        <is>
          <t>ยูเอ็น เซอร์วิส</t>
        </is>
      </c>
      <c r="C24" s="108" t="inlineStr">
        <is>
          <t>2026-03</t>
        </is>
      </c>
      <c r="D24" s="108" t="inlineStr">
        <is>
          <t>PL787</t>
        </is>
      </c>
      <c r="E24" s="109" t="inlineStr">
        <is>
          <t>เสาการดเรล OD100 H2.0M (เชื่อมเพลท)</t>
        </is>
      </c>
      <c r="F24" s="110" t="n">
        <v>5638.92</v>
      </c>
      <c r="G24" s="110" t="n">
        <v>394.72</v>
      </c>
      <c r="H24" s="110" t="n">
        <v>6033.64</v>
      </c>
      <c r="I24" s="108" t="inlineStr">
        <is>
          <t>⚪ รอผล</t>
        </is>
      </c>
      <c r="J24" s="108" t="inlineStr">
        <is>
          <t>—</t>
        </is>
      </c>
    </row>
    <row r="25" ht="14" customHeight="1">
      <c r="A25" s="81" t="n">
        <v>21</v>
      </c>
      <c r="B25" s="82" t="inlineStr">
        <is>
          <t>คุณจัสมิน</t>
        </is>
      </c>
      <c r="C25" s="81" t="inlineStr">
        <is>
          <t>2026-04</t>
        </is>
      </c>
      <c r="D25" s="81" t="inlineStr">
        <is>
          <t>PL810</t>
        </is>
      </c>
      <c r="E25" s="82" t="inlineStr">
        <is>
          <t>เสาการดเรล OD100 H2.0M (เชื่อมเพลท)</t>
        </is>
      </c>
      <c r="F25" s="83" t="n">
        <v>4688.32</v>
      </c>
      <c r="G25" s="83" t="n">
        <v>328.18</v>
      </c>
      <c r="H25" s="83" t="n">
        <v>5016.5</v>
      </c>
      <c r="I25" s="81" t="inlineStr">
        <is>
          <t>⚪ รอผล</t>
        </is>
      </c>
      <c r="J25" s="81" t="inlineStr">
        <is>
          <t>—</t>
        </is>
      </c>
    </row>
    <row r="26" ht="18" customHeight="1">
      <c r="A26" s="111" t="inlineStr">
        <is>
          <t>รวม Guard Rail / การ์ดเรล — 21 รายการ</t>
        </is>
      </c>
      <c r="F26" s="112" t="n">
        <v>16131732</v>
      </c>
      <c r="G26" s="112" t="n">
        <v>1129221.23</v>
      </c>
      <c r="H26" s="112" t="n">
        <v>17260953.23</v>
      </c>
    </row>
  </sheetData>
  <mergeCells count="3">
    <mergeCell ref="A26:E26"/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7474F"/>
    <outlinePr summaryBelow="1" summaryRight="1"/>
    <pageSetUpPr/>
  </sheetPr>
  <dimension ref="A1:J15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8" customWidth="1" min="9" max="9"/>
    <col width="8" customWidth="1" min="10" max="10"/>
  </cols>
  <sheetData>
    <row r="1" ht="22" customHeight="1">
      <c r="A1" s="1" t="inlineStr">
        <is>
          <t xml:space="preserve">  LeKise  |  Product × Month Matrix 2026  |  16 มิ.ย. 2569</t>
        </is>
      </c>
    </row>
    <row r="2" ht="6" customHeight="1"/>
    <row r="3" ht="28" customHeight="1">
      <c r="A3" s="113" t="inlineStr">
        <is>
          <t>กลุ่มสินค้า / เดือน</t>
        </is>
      </c>
      <c r="B3" s="113" t="inlineStr">
        <is>
          <t>2026-01</t>
        </is>
      </c>
      <c r="C3" s="113" t="inlineStr">
        <is>
          <t>2026-02</t>
        </is>
      </c>
      <c r="D3" s="113" t="inlineStr">
        <is>
          <t>2026-03</t>
        </is>
      </c>
      <c r="E3" s="113" t="inlineStr">
        <is>
          <t>2026-04</t>
        </is>
      </c>
      <c r="F3" s="113" t="inlineStr">
        <is>
          <t>2026-05</t>
        </is>
      </c>
      <c r="G3" s="113" t="inlineStr">
        <is>
          <t>2026-06</t>
        </is>
      </c>
      <c r="H3" s="113" t="inlineStr">
        <is>
          <t>รวม</t>
        </is>
      </c>
      <c r="I3" s="113" t="inlineStr">
        <is>
          <t>%</t>
        </is>
      </c>
      <c r="J3" s="113" t="inlineStr">
        <is>
          <t>ใบ</t>
        </is>
      </c>
    </row>
    <row r="4" ht="16" customHeight="1">
      <c r="A4" s="27" t="inlineStr">
        <is>
          <t>High Mast</t>
        </is>
      </c>
      <c r="B4" s="114" t="n">
        <v>27712859.03</v>
      </c>
      <c r="C4" s="114" t="n">
        <v>9053088.960000001</v>
      </c>
      <c r="D4" s="114" t="n">
        <v>6229862.28</v>
      </c>
      <c r="E4" s="114" t="n">
        <v>2050676.4</v>
      </c>
      <c r="F4" s="114" t="n">
        <v>12674262.56</v>
      </c>
      <c r="G4" s="114" t="n">
        <v>19419527.76</v>
      </c>
      <c r="H4" s="115" t="n">
        <v>77140276.98999999</v>
      </c>
      <c r="I4" s="116" t="inlineStr">
        <is>
          <t>42.0%</t>
        </is>
      </c>
      <c r="J4" s="116" t="n">
        <v>74</v>
      </c>
    </row>
    <row r="5" ht="16" customHeight="1">
      <c r="A5" s="26" t="inlineStr">
        <is>
          <t>Guard Rail / การ์ดเรล</t>
        </is>
      </c>
      <c r="B5" s="20" t="n"/>
      <c r="C5" s="117" t="n">
        <v>249147.36</v>
      </c>
      <c r="D5" s="117" t="n">
        <v>169613.14</v>
      </c>
      <c r="E5" s="117" t="n">
        <v>2235328.93</v>
      </c>
      <c r="F5" s="117" t="n">
        <v>13169878.83</v>
      </c>
      <c r="G5" s="117" t="n">
        <v>1436984.97</v>
      </c>
      <c r="H5" s="118" t="n">
        <v>17260953.23</v>
      </c>
      <c r="I5" s="119" t="inlineStr">
        <is>
          <t>9.4%</t>
        </is>
      </c>
      <c r="J5" s="119" t="n">
        <v>21</v>
      </c>
    </row>
    <row r="6" ht="16" customHeight="1">
      <c r="A6" s="27" t="inlineStr">
        <is>
          <t>เสาไฟถนน</t>
        </is>
      </c>
      <c r="B6" s="114" t="n">
        <v>15528660.1</v>
      </c>
      <c r="C6" s="114" t="n">
        <v>6731310.08</v>
      </c>
      <c r="D6" s="114" t="n">
        <v>9305980.140000001</v>
      </c>
      <c r="E6" s="114" t="n">
        <v>10095109.69</v>
      </c>
      <c r="F6" s="114" t="n">
        <v>11133661.41</v>
      </c>
      <c r="G6" s="114" t="n">
        <v>8953140.800000001</v>
      </c>
      <c r="H6" s="115" t="n">
        <v>61747862.22</v>
      </c>
      <c r="I6" s="116" t="inlineStr">
        <is>
          <t>33.6%</t>
        </is>
      </c>
      <c r="J6" s="116" t="n">
        <v>133</v>
      </c>
    </row>
    <row r="7" ht="16" customHeight="1">
      <c r="A7" s="26" t="inlineStr">
        <is>
          <t>LED Streetlight</t>
        </is>
      </c>
      <c r="B7" s="117" t="n">
        <v>1142580.24</v>
      </c>
      <c r="C7" s="117" t="n">
        <v>264238.64</v>
      </c>
      <c r="D7" s="117" t="n">
        <v>656500.11</v>
      </c>
      <c r="E7" s="117" t="n">
        <v>1645272.23</v>
      </c>
      <c r="F7" s="20" t="n"/>
      <c r="G7" s="117" t="n">
        <v>863312.38</v>
      </c>
      <c r="H7" s="118" t="n">
        <v>4571903.6</v>
      </c>
      <c r="I7" s="119" t="inlineStr">
        <is>
          <t>2.5%</t>
        </is>
      </c>
      <c r="J7" s="119" t="n">
        <v>15</v>
      </c>
    </row>
    <row r="8" ht="16" customHeight="1">
      <c r="A8" s="27" t="inlineStr">
        <is>
          <t>LED Floodlight</t>
        </is>
      </c>
      <c r="B8" s="18" t="n"/>
      <c r="C8" s="114" t="n">
        <v>2110831.8</v>
      </c>
      <c r="D8" s="18" t="n"/>
      <c r="E8" s="114" t="n">
        <v>952390.95</v>
      </c>
      <c r="F8" s="114" t="n">
        <v>88292.12</v>
      </c>
      <c r="G8" s="18" t="n"/>
      <c r="H8" s="115" t="n">
        <v>3151514.87</v>
      </c>
      <c r="I8" s="116" t="inlineStr">
        <is>
          <t>1.7%</t>
        </is>
      </c>
      <c r="J8" s="116" t="n">
        <v>4</v>
      </c>
    </row>
    <row r="9" ht="16" customHeight="1">
      <c r="A9" s="26" t="inlineStr">
        <is>
          <t>LED Highbay</t>
        </is>
      </c>
      <c r="B9" s="117" t="n">
        <v>204057.56</v>
      </c>
      <c r="C9" s="20" t="n"/>
      <c r="D9" s="117" t="n">
        <v>62412.67</v>
      </c>
      <c r="E9" s="20" t="n"/>
      <c r="F9" s="20" t="n"/>
      <c r="G9" s="20" t="n"/>
      <c r="H9" s="118" t="n">
        <v>266470.23</v>
      </c>
      <c r="I9" s="119" t="inlineStr">
        <is>
          <t>0.1%</t>
        </is>
      </c>
      <c r="J9" s="119" t="n">
        <v>2</v>
      </c>
    </row>
    <row r="10" ht="16" customHeight="1">
      <c r="A10" s="27" t="inlineStr">
        <is>
          <t>Solar</t>
        </is>
      </c>
      <c r="B10" s="114" t="n">
        <v>55481.59</v>
      </c>
      <c r="C10" s="18" t="n"/>
      <c r="D10" s="114" t="n">
        <v>619874.33</v>
      </c>
      <c r="E10" s="18" t="n"/>
      <c r="F10" s="18" t="n"/>
      <c r="G10" s="18" t="n"/>
      <c r="H10" s="115" t="n">
        <v>675355.92</v>
      </c>
      <c r="I10" s="116" t="inlineStr">
        <is>
          <t>0.4%</t>
        </is>
      </c>
      <c r="J10" s="116" t="n">
        <v>3</v>
      </c>
    </row>
    <row r="11" ht="16" customHeight="1">
      <c r="A11" s="26" t="inlineStr">
        <is>
          <t>สายส่งไฟฟ้า</t>
        </is>
      </c>
      <c r="B11" s="117" t="n">
        <v>2615208.4</v>
      </c>
      <c r="C11" s="20" t="n"/>
      <c r="D11" s="20" t="n"/>
      <c r="E11" s="20" t="n"/>
      <c r="F11" s="20" t="n"/>
      <c r="G11" s="20" t="n"/>
      <c r="H11" s="118" t="n">
        <v>2615208.4</v>
      </c>
      <c r="I11" s="119" t="inlineStr">
        <is>
          <t>1.4%</t>
        </is>
      </c>
      <c r="J11" s="119" t="n">
        <v>1</v>
      </c>
    </row>
    <row r="12" ht="16" customHeight="1">
      <c r="A12" s="27" t="inlineStr">
        <is>
          <t>Hardware / Accessories</t>
        </is>
      </c>
      <c r="B12" s="18" t="n"/>
      <c r="C12" s="114" t="n">
        <v>111176.85</v>
      </c>
      <c r="D12" s="114" t="n">
        <v>9395.459999999999</v>
      </c>
      <c r="E12" s="18" t="n"/>
      <c r="F12" s="18" t="n"/>
      <c r="G12" s="18" t="n"/>
      <c r="H12" s="115" t="n">
        <v>120572.31</v>
      </c>
      <c r="I12" s="116" t="inlineStr">
        <is>
          <t>0.1%</t>
        </is>
      </c>
      <c r="J12" s="116" t="n">
        <v>3</v>
      </c>
    </row>
    <row r="13" ht="16" customHeight="1">
      <c r="A13" s="26" t="inlineStr">
        <is>
          <t>Electrical Accessories</t>
        </is>
      </c>
      <c r="B13" s="117" t="n">
        <v>41390.86</v>
      </c>
      <c r="C13" s="117" t="n">
        <v>54708.03</v>
      </c>
      <c r="D13" s="20" t="n"/>
      <c r="E13" s="20" t="n"/>
      <c r="F13" s="20" t="n"/>
      <c r="G13" s="20" t="n"/>
      <c r="H13" s="118" t="n">
        <v>96098.89</v>
      </c>
      <c r="I13" s="119" t="inlineStr">
        <is>
          <t>0.1%</t>
        </is>
      </c>
      <c r="J13" s="119" t="n">
        <v>3</v>
      </c>
    </row>
    <row r="14" ht="16" customHeight="1">
      <c r="A14" s="27" t="inlineStr">
        <is>
          <t>อื่นๆ</t>
        </is>
      </c>
      <c r="B14" s="114" t="n">
        <v>5161933.28</v>
      </c>
      <c r="C14" s="114" t="n">
        <v>2802356.1</v>
      </c>
      <c r="D14" s="114" t="n">
        <v>2697503.94</v>
      </c>
      <c r="E14" s="114" t="n">
        <v>2232769</v>
      </c>
      <c r="F14" s="114" t="n">
        <v>2951740.95</v>
      </c>
      <c r="G14" s="114" t="n">
        <v>349941.94</v>
      </c>
      <c r="H14" s="115" t="n">
        <v>16196245.21</v>
      </c>
      <c r="I14" s="116" t="inlineStr">
        <is>
          <t>8.8%</t>
        </is>
      </c>
      <c r="J14" s="116" t="n">
        <v>52</v>
      </c>
    </row>
    <row r="15" ht="18" customHeight="1">
      <c r="A15" s="120" t="inlineStr">
        <is>
          <t>รวมทุกกลุ่ม</t>
        </is>
      </c>
      <c r="B15" s="121" t="n">
        <v>52462171.06</v>
      </c>
      <c r="C15" s="121" t="n">
        <v>21376857.82</v>
      </c>
      <c r="D15" s="121" t="n">
        <v>19751142.07</v>
      </c>
      <c r="E15" s="121" t="n">
        <v>19211547.2</v>
      </c>
      <c r="F15" s="121" t="n">
        <v>40017835.87</v>
      </c>
      <c r="G15" s="121" t="n">
        <v>31022907.85</v>
      </c>
      <c r="H15" s="121" t="n">
        <v>183842461.87</v>
      </c>
      <c r="I15" s="120" t="inlineStr">
        <is>
          <t>100%</t>
        </is>
      </c>
      <c r="J15" s="120" t="n">
        <v>311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B5E20"/>
    <outlinePr summaryBelow="1" summaryRight="1"/>
    <pageSetUpPr/>
  </sheetPr>
  <dimension ref="A1:N22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26" customWidth="1" min="3" max="3"/>
    <col width="10" customWidth="1" min="4" max="4"/>
    <col width="20" customWidth="1" min="5" max="5"/>
    <col width="18" customWidth="1" min="6" max="6"/>
    <col width="14" customWidth="1" min="7" max="7"/>
    <col width="12" customWidth="1" min="8" max="8"/>
    <col width="16" customWidth="1" min="9" max="9"/>
    <col width="18" customWidth="1" min="10" max="10"/>
    <col width="22" customWidth="1" min="11" max="11"/>
    <col width="14" customWidth="1" min="12" max="12"/>
    <col width="14" customWidth="1" min="13" max="13"/>
    <col width="14" customWidth="1" min="14" max="14"/>
  </cols>
  <sheetData>
    <row r="1" ht="22" customHeight="1">
      <c r="A1" s="1" t="inlineStr">
        <is>
          <t xml:space="preserve">  LeKise  |  Follow-Up Tracker  |  Priority Order  |  16 มิ.ย. 2569</t>
        </is>
      </c>
    </row>
    <row r="2" ht="6" customHeight="1"/>
    <row r="3" ht="18" customHeight="1">
      <c r="A3" s="122" t="inlineStr">
        <is>
          <t>ใบเสนอ ≥ 100,000 บาท  |  216 รายการ  |  รวม 180.3M ฿  |  16 มิ.ย. 2569</t>
        </is>
      </c>
    </row>
    <row r="4" ht="28" customHeight="1">
      <c r="A4" s="123" t="inlineStr">
        <is>
          <t>#</t>
        </is>
      </c>
      <c r="B4" s="123" t="inlineStr">
        <is>
          <t>PL No.</t>
        </is>
      </c>
      <c r="C4" s="123" t="inlineStr">
        <is>
          <t>ชื่อลูกค้า</t>
        </is>
      </c>
      <c r="D4" s="123" t="inlineStr">
        <is>
          <t>เดือน</t>
        </is>
      </c>
      <c r="E4" s="123" t="inlineStr">
        <is>
          <t>สินค้าหลัก</t>
        </is>
      </c>
      <c r="F4" s="123" t="inlineStr">
        <is>
          <t>เลขที่ใบเสนอ</t>
        </is>
      </c>
      <c r="G4" s="123" t="inlineStr">
        <is>
          <t>ก่อน VAT</t>
        </is>
      </c>
      <c r="H4" s="123" t="inlineStr">
        <is>
          <t>VAT 7%</t>
        </is>
      </c>
      <c r="I4" s="123" t="inlineStr">
        <is>
          <t>รวม incl VAT</t>
        </is>
      </c>
      <c r="J4" s="123" t="inlineStr">
        <is>
          <t>สถานะ (Auto)</t>
        </is>
      </c>
      <c r="K4" s="123" t="inlineStr">
        <is>
          <t>สถานะตามจริง</t>
        </is>
      </c>
      <c r="L4" s="123" t="inlineStr">
        <is>
          <t>ความสำคัญ</t>
        </is>
      </c>
      <c r="M4" s="123" t="inlineStr">
        <is>
          <t>กลุ่มงาน</t>
        </is>
      </c>
      <c r="N4" s="123" t="inlineStr">
        <is>
          <t>Action</t>
        </is>
      </c>
    </row>
    <row r="5" ht="14" customHeight="1">
      <c r="A5" s="50" t="n">
        <v>1</v>
      </c>
      <c r="B5" s="50" t="inlineStr">
        <is>
          <t>PL915</t>
        </is>
      </c>
      <c r="C5" s="51" t="inlineStr">
        <is>
          <t>ภิรมย์ กรุ๊ป</t>
        </is>
      </c>
      <c r="D5" s="50" t="inlineStr">
        <is>
          <t>2026-06</t>
        </is>
      </c>
      <c r="E5" s="51" t="inlineStr">
        <is>
          <t xml:space="preserve">High mast Pole 25 M วงแหวน 10 </t>
        </is>
      </c>
      <c r="F5" s="51" t="inlineStr">
        <is>
          <t>LKT. 2026-06 -PL915</t>
        </is>
      </c>
      <c r="G5" s="75" t="n">
        <v>8912316</v>
      </c>
      <c r="H5" s="75" t="n">
        <v>623862.12</v>
      </c>
      <c r="I5" s="75" t="n">
        <v>9536178.119999999</v>
      </c>
      <c r="J5" s="50" t="inlineStr">
        <is>
          <t>🔥 ร้อน</t>
        </is>
      </c>
      <c r="K5" s="50" t="inlineStr">
        <is>
          <t>—</t>
        </is>
      </c>
      <c r="L5" s="50" t="inlineStr">
        <is>
          <t>สูงมาก</t>
        </is>
      </c>
      <c r="M5" s="50" t="inlineStr">
        <is>
          <t>—</t>
        </is>
      </c>
      <c r="N5" s="50" t="inlineStr">
        <is>
          <t>📞 ติดตามด่วน!</t>
        </is>
      </c>
    </row>
    <row r="6" ht="14" customHeight="1">
      <c r="A6" s="50" t="n">
        <v>2</v>
      </c>
      <c r="B6" s="50" t="inlineStr">
        <is>
          <t>PL654</t>
        </is>
      </c>
      <c r="C6" s="51" t="inlineStr">
        <is>
          <t>กรรณเลิศ เทรดดิ้ง</t>
        </is>
      </c>
      <c r="D6" s="50" t="inlineStr">
        <is>
          <t>2026-01</t>
        </is>
      </c>
      <c r="E6" s="51" t="inlineStr">
        <is>
          <t>High mast Pole 20 M วงแหวน 8 โ</t>
        </is>
      </c>
      <c r="F6" s="51" t="inlineStr">
        <is>
          <t>LKT. 2026-01 -PL642</t>
        </is>
      </c>
      <c r="G6" s="75" t="n">
        <v>8216697.25</v>
      </c>
      <c r="H6" s="75" t="n">
        <v>575168.8100000001</v>
      </c>
      <c r="I6" s="75" t="n">
        <v>8791866.060000001</v>
      </c>
      <c r="J6" s="50" t="inlineStr">
        <is>
          <t>🔥 ร้อน</t>
        </is>
      </c>
      <c r="K6" s="50" t="inlineStr">
        <is>
          <t>—</t>
        </is>
      </c>
      <c r="L6" s="50" t="inlineStr">
        <is>
          <t>สูงมาก</t>
        </is>
      </c>
      <c r="M6" s="50" t="inlineStr">
        <is>
          <t>—</t>
        </is>
      </c>
      <c r="N6" s="50" t="inlineStr">
        <is>
          <t>📞 ติดตามด่วน!</t>
        </is>
      </c>
    </row>
    <row r="7" ht="14" customHeight="1">
      <c r="A7" s="50" t="n">
        <v>3</v>
      </c>
      <c r="B7" s="50" t="inlineStr">
        <is>
          <t>PL625</t>
        </is>
      </c>
      <c r="C7" s="51" t="inlineStr">
        <is>
          <t>สุรัตน์</t>
        </is>
      </c>
      <c r="D7" s="50" t="inlineStr">
        <is>
          <t>2026-01</t>
        </is>
      </c>
      <c r="E7" s="51" t="inlineStr">
        <is>
          <t>High mast Pole 20 M วงแหวน 8 โ</t>
        </is>
      </c>
      <c r="F7" s="51" t="inlineStr">
        <is>
          <t>LKT. 2026-01 -PL625</t>
        </is>
      </c>
      <c r="G7" s="75" t="n">
        <v>6904195</v>
      </c>
      <c r="H7" s="75" t="n">
        <v>483293.65</v>
      </c>
      <c r="I7" s="75" t="n">
        <v>7387488.65</v>
      </c>
      <c r="J7" s="50" t="inlineStr">
        <is>
          <t>🔥 ร้อน</t>
        </is>
      </c>
      <c r="K7" s="50" t="inlineStr">
        <is>
          <t>—</t>
        </is>
      </c>
      <c r="L7" s="50" t="inlineStr">
        <is>
          <t>สูงมาก</t>
        </is>
      </c>
      <c r="M7" s="50" t="inlineStr">
        <is>
          <t>—</t>
        </is>
      </c>
      <c r="N7" s="50" t="inlineStr">
        <is>
          <t>📞 ติดตามด่วน!</t>
        </is>
      </c>
    </row>
    <row r="8" ht="14" customHeight="1">
      <c r="A8" s="50" t="n">
        <v>4</v>
      </c>
      <c r="B8" s="50" t="inlineStr">
        <is>
          <t>PL874</t>
        </is>
      </c>
      <c r="C8" s="51" t="inlineStr">
        <is>
          <t>ห้างหุ้นส่วนจำกัด สมบูรณ์อิเล็กทริค หนองบัวลำภู</t>
        </is>
      </c>
      <c r="D8" s="50" t="inlineStr">
        <is>
          <t>2026-05</t>
        </is>
      </c>
      <c r="E8" s="51" t="inlineStr">
        <is>
          <t>เสาการดเรล OD100 H2.0M</t>
        </is>
      </c>
      <c r="F8" s="51" t="inlineStr">
        <is>
          <t>LKT. 2026-05-869</t>
        </is>
      </c>
      <c r="G8" s="75" t="n">
        <v>6406701</v>
      </c>
      <c r="H8" s="75" t="n">
        <v>448469.07</v>
      </c>
      <c r="I8" s="75" t="n">
        <v>6855170.07</v>
      </c>
      <c r="J8" s="50" t="inlineStr">
        <is>
          <t>🔥 ร้อน</t>
        </is>
      </c>
      <c r="K8" s="50" t="inlineStr">
        <is>
          <t>—</t>
        </is>
      </c>
      <c r="L8" s="50" t="inlineStr">
        <is>
          <t>สูงมาก</t>
        </is>
      </c>
      <c r="M8" s="50" t="inlineStr">
        <is>
          <t>—</t>
        </is>
      </c>
      <c r="N8" s="50" t="inlineStr">
        <is>
          <t>📞 ติดตามด่วน!</t>
        </is>
      </c>
    </row>
    <row r="9" ht="14" customHeight="1">
      <c r="A9" s="50" t="n">
        <v>5</v>
      </c>
      <c r="B9" s="50" t="inlineStr">
        <is>
          <t>PL932</t>
        </is>
      </c>
      <c r="C9" s="51" t="inlineStr">
        <is>
          <t>ต้นตะวัน</t>
        </is>
      </c>
      <c r="D9" s="50" t="inlineStr">
        <is>
          <t>2026-06</t>
        </is>
      </c>
      <c r="E9" s="51" t="inlineStr">
        <is>
          <t>Pole With Bracket 12M-T4-TR (ช</t>
        </is>
      </c>
      <c r="F9" s="51" t="inlineStr">
        <is>
          <t>LKT. 2026-06 -PL932</t>
        </is>
      </c>
      <c r="G9" s="75" t="n">
        <v>5427607.5</v>
      </c>
      <c r="H9" s="75" t="n">
        <v>379932.53</v>
      </c>
      <c r="I9" s="75" t="n">
        <v>5807540.03</v>
      </c>
      <c r="J9" s="50" t="inlineStr">
        <is>
          <t>🔥 ร้อน</t>
        </is>
      </c>
      <c r="K9" s="50" t="inlineStr">
        <is>
          <t>—</t>
        </is>
      </c>
      <c r="L9" s="50" t="inlineStr">
        <is>
          <t>สูงมาก</t>
        </is>
      </c>
      <c r="M9" s="50" t="inlineStr">
        <is>
          <t>—</t>
        </is>
      </c>
      <c r="N9" s="50" t="inlineStr">
        <is>
          <t>📞 ติดตามด่วน!</t>
        </is>
      </c>
    </row>
    <row r="10" ht="14" customHeight="1">
      <c r="A10" s="50" t="n">
        <v>6</v>
      </c>
      <c r="B10" s="50" t="inlineStr">
        <is>
          <t>PL861</t>
        </is>
      </c>
      <c r="C10" s="51" t="inlineStr">
        <is>
          <t>วันชัยการไฟฟ้า HM20_8</t>
        </is>
      </c>
      <c r="D10" s="50" t="inlineStr">
        <is>
          <t>2026-05</t>
        </is>
      </c>
      <c r="E10" s="51" t="inlineStr">
        <is>
          <t>HIGH MAST POLE 20M วงแหวน 8โคม</t>
        </is>
      </c>
      <c r="F10" s="51" t="inlineStr">
        <is>
          <t>LKT. 2026-05 -PL861</t>
        </is>
      </c>
      <c r="G10" s="75" t="n">
        <v>4401395.6</v>
      </c>
      <c r="H10" s="75" t="n">
        <v>308097.69</v>
      </c>
      <c r="I10" s="75" t="n">
        <v>4709493.29</v>
      </c>
      <c r="J10" s="50" t="inlineStr">
        <is>
          <t>🔥 ร้อน</t>
        </is>
      </c>
      <c r="K10" s="50" t="inlineStr">
        <is>
          <t>—</t>
        </is>
      </c>
      <c r="L10" s="50" t="inlineStr">
        <is>
          <t>สูงมาก</t>
        </is>
      </c>
      <c r="M10" s="50" t="inlineStr">
        <is>
          <t>—</t>
        </is>
      </c>
      <c r="N10" s="50" t="inlineStr">
        <is>
          <t>📞 ติดตามด่วน!</t>
        </is>
      </c>
    </row>
    <row r="11" ht="14" customHeight="1">
      <c r="A11" s="50" t="n">
        <v>7</v>
      </c>
      <c r="B11" s="50" t="inlineStr">
        <is>
          <t>PL658</t>
        </is>
      </c>
      <c r="C11" s="51" t="inlineStr">
        <is>
          <t>วันชัยการไฟฟ้า</t>
        </is>
      </c>
      <c r="D11" s="50" t="inlineStr">
        <is>
          <t>2026-01</t>
        </is>
      </c>
      <c r="E11" s="51" t="inlineStr">
        <is>
          <t>HIGH MAST POLE 20M วงแหวน 8โคม</t>
        </is>
      </c>
      <c r="F11" s="51" t="inlineStr">
        <is>
          <t>LKT. 2026-01 -PL658</t>
        </is>
      </c>
      <c r="G11" s="75" t="n">
        <v>4135796</v>
      </c>
      <c r="H11" s="75" t="n">
        <v>289505.72</v>
      </c>
      <c r="I11" s="75" t="n">
        <v>4425301.72</v>
      </c>
      <c r="J11" s="50" t="inlineStr">
        <is>
          <t>🔥 ร้อน</t>
        </is>
      </c>
      <c r="K11" s="50" t="inlineStr">
        <is>
          <t>—</t>
        </is>
      </c>
      <c r="L11" s="50" t="inlineStr">
        <is>
          <t>สูงมาก</t>
        </is>
      </c>
      <c r="M11" s="50" t="inlineStr">
        <is>
          <t>—</t>
        </is>
      </c>
      <c r="N11" s="50" t="inlineStr">
        <is>
          <t>📞 ติดตามด่วน!</t>
        </is>
      </c>
    </row>
    <row r="12" ht="14" customHeight="1">
      <c r="A12" s="50" t="n">
        <v>8</v>
      </c>
      <c r="B12" s="50" t="inlineStr">
        <is>
          <t>PL850</t>
        </is>
      </c>
      <c r="C12" s="51" t="inlineStr">
        <is>
          <t>เบตเตอร์ เวิร์ลด</t>
        </is>
      </c>
      <c r="D12" s="50" t="inlineStr">
        <is>
          <t>2026-05</t>
        </is>
      </c>
      <c r="E12" s="51" t="inlineStr">
        <is>
          <t>เสาการดเรล OD100 H2.0M (เชื่อ</t>
        </is>
      </c>
      <c r="F12" s="51" t="inlineStr">
        <is>
          <t>LKT. 2026-05 -PL851</t>
        </is>
      </c>
      <c r="G12" s="75" t="n">
        <v>3587699.64</v>
      </c>
      <c r="H12" s="75" t="n">
        <v>251138.97</v>
      </c>
      <c r="I12" s="75" t="n">
        <v>3838838.61</v>
      </c>
      <c r="J12" s="50" t="inlineStr">
        <is>
          <t>🔥 ร้อน</t>
        </is>
      </c>
      <c r="K12" s="50" t="inlineStr">
        <is>
          <t>—</t>
        </is>
      </c>
      <c r="L12" s="50" t="inlineStr">
        <is>
          <t>สูงมาก</t>
        </is>
      </c>
      <c r="M12" s="50" t="inlineStr">
        <is>
          <t>—</t>
        </is>
      </c>
      <c r="N12" s="50" t="inlineStr">
        <is>
          <t>📞 ติดตามด่วน!</t>
        </is>
      </c>
    </row>
    <row r="13" ht="14" customHeight="1">
      <c r="A13" s="50" t="n">
        <v>9</v>
      </c>
      <c r="B13" s="50" t="inlineStr">
        <is>
          <t>PL828</t>
        </is>
      </c>
      <c r="C13" s="51" t="inlineStr">
        <is>
          <t>เทศบาลนครเชียงใหม่</t>
        </is>
      </c>
      <c r="D13" s="50" t="inlineStr">
        <is>
          <t>2026-04</t>
        </is>
      </c>
      <c r="E13" s="51" t="inlineStr">
        <is>
          <t>Pole With Bracket 9M-T4-TR</t>
        </is>
      </c>
      <c r="F13" s="51" t="inlineStr">
        <is>
          <t>LKT. 2026-01 -PL613</t>
        </is>
      </c>
      <c r="G13" s="75" t="n">
        <v>3556475</v>
      </c>
      <c r="H13" s="75" t="n">
        <v>248953.25</v>
      </c>
      <c r="I13" s="75" t="n">
        <v>3805428.25</v>
      </c>
      <c r="J13" s="50" t="inlineStr">
        <is>
          <t>🔥 ร้อน</t>
        </is>
      </c>
      <c r="K13" s="50" t="inlineStr">
        <is>
          <t>—</t>
        </is>
      </c>
      <c r="L13" s="50" t="inlineStr">
        <is>
          <t>สูงมาก</t>
        </is>
      </c>
      <c r="M13" s="50" t="inlineStr">
        <is>
          <t>—</t>
        </is>
      </c>
      <c r="N13" s="50" t="inlineStr">
        <is>
          <t>📞 ติดตามด่วน!</t>
        </is>
      </c>
    </row>
    <row r="14" ht="14" customHeight="1">
      <c r="A14" s="50" t="n">
        <v>10</v>
      </c>
      <c r="B14" s="50" t="inlineStr">
        <is>
          <t>PL919</t>
        </is>
      </c>
      <c r="C14" s="51" t="inlineStr">
        <is>
          <t>วันชัยการไฟฟ้า 2019</t>
        </is>
      </c>
      <c r="D14" s="50" t="inlineStr">
        <is>
          <t>2026-06</t>
        </is>
      </c>
      <c r="E14" s="51" t="inlineStr">
        <is>
          <t>HIGH MAST POLE 20M วงแหวน 8โคม</t>
        </is>
      </c>
      <c r="F14" s="51" t="inlineStr">
        <is>
          <t>LKT. 2026-06 -PL919</t>
        </is>
      </c>
      <c r="G14" s="75" t="n">
        <v>3344563.6</v>
      </c>
      <c r="H14" s="75" t="n">
        <v>234119.45</v>
      </c>
      <c r="I14" s="75" t="n">
        <v>3578683.05</v>
      </c>
      <c r="J14" s="50" t="inlineStr">
        <is>
          <t>🔥 ร้อน</t>
        </is>
      </c>
      <c r="K14" s="50" t="inlineStr">
        <is>
          <t>—</t>
        </is>
      </c>
      <c r="L14" s="50" t="inlineStr">
        <is>
          <t>สูงมาก</t>
        </is>
      </c>
      <c r="M14" s="50" t="inlineStr">
        <is>
          <t>—</t>
        </is>
      </c>
      <c r="N14" s="50" t="inlineStr">
        <is>
          <t>📞 ติดตามด่วน!</t>
        </is>
      </c>
    </row>
    <row r="15" ht="14" customHeight="1">
      <c r="A15" s="50" t="n">
        <v>11</v>
      </c>
      <c r="B15" s="50" t="inlineStr">
        <is>
          <t>PL637</t>
        </is>
      </c>
      <c r="C15" s="51" t="inlineStr">
        <is>
          <t>บริษัท เดอะวิน เทเลคอม จำกัด</t>
        </is>
      </c>
      <c r="D15" s="50" t="inlineStr">
        <is>
          <t>2026-01</t>
        </is>
      </c>
      <c r="E15" s="51" t="inlineStr">
        <is>
          <t>เสากลมตรง 4'' H4M. HDG+ทําสีดํ</t>
        </is>
      </c>
      <c r="F15" s="51" t="inlineStr">
        <is>
          <t>LKT. 2026-01-PL637</t>
        </is>
      </c>
      <c r="G15" s="75" t="n">
        <v>3044050</v>
      </c>
      <c r="H15" s="75" t="n">
        <v>213083.5</v>
      </c>
      <c r="I15" s="75" t="n">
        <v>3257133.5</v>
      </c>
      <c r="J15" s="50" t="inlineStr">
        <is>
          <t>🔥 ร้อน</t>
        </is>
      </c>
      <c r="K15" s="50" t="inlineStr">
        <is>
          <t>—</t>
        </is>
      </c>
      <c r="L15" s="50" t="inlineStr">
        <is>
          <t>สูงมาก</t>
        </is>
      </c>
      <c r="M15" s="50" t="inlineStr">
        <is>
          <t>—</t>
        </is>
      </c>
      <c r="N15" s="50" t="inlineStr">
        <is>
          <t>📞 ติดตามด่วน!</t>
        </is>
      </c>
    </row>
    <row r="16" ht="14" customHeight="1">
      <c r="A16" s="42" t="n">
        <v>12</v>
      </c>
      <c r="B16" s="42" t="inlineStr">
        <is>
          <t>PL908</t>
        </is>
      </c>
      <c r="C16" s="43" t="inlineStr">
        <is>
          <t>เค บี เอ็ม _25ม. 15</t>
        </is>
      </c>
      <c r="D16" s="42" t="inlineStr">
        <is>
          <t>2026-05</t>
        </is>
      </c>
      <c r="E16" s="43" t="inlineStr">
        <is>
          <t>High Mast 25 M + Stadium 3 ชั้</t>
        </is>
      </c>
      <c r="F16" s="43" t="inlineStr">
        <is>
          <t>LKT. 2026-05 -PL908</t>
        </is>
      </c>
      <c r="G16" s="76" t="n">
        <v>2567600</v>
      </c>
      <c r="H16" s="76" t="n">
        <v>179732</v>
      </c>
      <c r="I16" s="76" t="n">
        <v>2747332</v>
      </c>
      <c r="J16" s="42" t="inlineStr">
        <is>
          <t>📞 ติดตาม-High</t>
        </is>
      </c>
      <c r="K16" s="42" t="inlineStr">
        <is>
          <t>—</t>
        </is>
      </c>
      <c r="L16" s="42" t="inlineStr">
        <is>
          <t>สูง</t>
        </is>
      </c>
      <c r="M16" s="42" t="inlineStr">
        <is>
          <t>อปท. Supply</t>
        </is>
      </c>
      <c r="N16" s="42" t="inlineStr">
        <is>
          <t>📋 นัดประชุม</t>
        </is>
      </c>
    </row>
    <row r="17" ht="14" customHeight="1">
      <c r="A17" s="42" t="n">
        <v>13</v>
      </c>
      <c r="B17" s="42" t="inlineStr">
        <is>
          <t>PL647</t>
        </is>
      </c>
      <c r="C17" s="43" t="inlineStr">
        <is>
          <t>ทองมาคอนแทรคเตอร์</t>
        </is>
      </c>
      <c r="D17" s="42" t="inlineStr">
        <is>
          <t>2026-01</t>
        </is>
      </c>
      <c r="E17" s="43" t="inlineStr">
        <is>
          <t>Pole With Bracket 9M-T4-TR</t>
        </is>
      </c>
      <c r="F17" s="43" t="inlineStr">
        <is>
          <t>LKT. 2026-01 -PL647</t>
        </is>
      </c>
      <c r="G17" s="76" t="n">
        <v>2472177.4</v>
      </c>
      <c r="H17" s="76" t="n">
        <v>173052.42</v>
      </c>
      <c r="I17" s="76" t="n">
        <v>2645229.82</v>
      </c>
      <c r="J17" s="42" t="inlineStr">
        <is>
          <t>📞 ติดตาม-High</t>
        </is>
      </c>
      <c r="K17" s="42" t="inlineStr">
        <is>
          <t>—</t>
        </is>
      </c>
      <c r="L17" s="42" t="inlineStr">
        <is>
          <t>สูง</t>
        </is>
      </c>
      <c r="M17" s="42" t="inlineStr">
        <is>
          <t>—</t>
        </is>
      </c>
      <c r="N17" s="42" t="inlineStr">
        <is>
          <t>📋 นัดประชุม</t>
        </is>
      </c>
    </row>
    <row r="18" ht="14" customHeight="1">
      <c r="A18" s="42" t="n">
        <v>14</v>
      </c>
      <c r="B18" s="42" t="inlineStr">
        <is>
          <t>PL619</t>
        </is>
      </c>
      <c r="C18" s="43" t="inlineStr">
        <is>
          <t>ทูพีเอส</t>
        </is>
      </c>
      <c r="D18" s="42" t="inlineStr">
        <is>
          <t>2026-01</t>
        </is>
      </c>
      <c r="E18" s="43" t="inlineStr">
        <is>
          <t>เสาสายสงไฟฟา 115KV Single Ci</t>
        </is>
      </c>
      <c r="F18" s="43" t="inlineStr">
        <is>
          <t>LKT. 2026-01 -PL609</t>
        </is>
      </c>
      <c r="G18" s="76" t="n">
        <v>2444120</v>
      </c>
      <c r="H18" s="76" t="n">
        <v>171088.4</v>
      </c>
      <c r="I18" s="76" t="n">
        <v>2615208.4</v>
      </c>
      <c r="J18" s="42" t="inlineStr">
        <is>
          <t>📞 ติดตาม-High</t>
        </is>
      </c>
      <c r="K18" s="42" t="inlineStr">
        <is>
          <t>—</t>
        </is>
      </c>
      <c r="L18" s="42" t="inlineStr">
        <is>
          <t>สูง</t>
        </is>
      </c>
      <c r="M18" s="42" t="inlineStr">
        <is>
          <t>—</t>
        </is>
      </c>
      <c r="N18" s="42" t="inlineStr">
        <is>
          <t>📋 นัดประชุม</t>
        </is>
      </c>
    </row>
    <row r="19" ht="14" customHeight="1">
      <c r="A19" s="42" t="n">
        <v>15</v>
      </c>
      <c r="B19" s="42" t="inlineStr">
        <is>
          <t>PL910</t>
        </is>
      </c>
      <c r="C19" s="43" t="inlineStr">
        <is>
          <t>วุทธิวงษ์ เทรดดิ้ง -Solar Split Type</t>
        </is>
      </c>
      <c r="D19" s="42" t="inlineStr">
        <is>
          <t>2026-05</t>
        </is>
      </c>
      <c r="E19" s="43" t="inlineStr">
        <is>
          <t>อื่นๆ</t>
        </is>
      </c>
      <c r="F19" s="43" t="inlineStr">
        <is>
          <t>LKT. 2026-05 -PL910</t>
        </is>
      </c>
      <c r="G19" s="76" t="n">
        <v>2110000</v>
      </c>
      <c r="H19" s="76" t="n">
        <v>147700</v>
      </c>
      <c r="I19" s="76" t="n">
        <v>2257700</v>
      </c>
      <c r="J19" s="42" t="inlineStr">
        <is>
          <t>📞 ติดตาม-High</t>
        </is>
      </c>
      <c r="K19" s="42" t="inlineStr">
        <is>
          <t>—</t>
        </is>
      </c>
      <c r="L19" s="42" t="inlineStr">
        <is>
          <t>สูง</t>
        </is>
      </c>
      <c r="M19" s="42" t="inlineStr">
        <is>
          <t>—</t>
        </is>
      </c>
      <c r="N19" s="42" t="inlineStr">
        <is>
          <t>📋 นัดประชุม</t>
        </is>
      </c>
    </row>
    <row r="20" ht="14" customHeight="1">
      <c r="A20" s="42" t="n">
        <v>16</v>
      </c>
      <c r="B20" s="42" t="inlineStr">
        <is>
          <t>PL674</t>
        </is>
      </c>
      <c r="C20" s="43" t="inlineStr">
        <is>
          <t>บริษัท มอส เอ็นเนอร์ยี่ จำกัด</t>
        </is>
      </c>
      <c r="D20" s="42" t="inlineStr">
        <is>
          <t>2026-01</t>
        </is>
      </c>
      <c r="E20" s="43" t="inlineStr">
        <is>
          <t>Pole With Bracket 6M-T4-TR</t>
        </is>
      </c>
      <c r="F20" s="43" t="inlineStr">
        <is>
          <t>LKT. 2026-01 -PL67ภ</t>
        </is>
      </c>
      <c r="G20" s="76" t="n">
        <v>2089164</v>
      </c>
      <c r="H20" s="76" t="n">
        <v>146241.48</v>
      </c>
      <c r="I20" s="76" t="n">
        <v>2235405.48</v>
      </c>
      <c r="J20" s="42" t="inlineStr">
        <is>
          <t>📞 ติดตาม-High</t>
        </is>
      </c>
      <c r="K20" s="42" t="inlineStr">
        <is>
          <t>—</t>
        </is>
      </c>
      <c r="L20" s="42" t="inlineStr">
        <is>
          <t>สูง</t>
        </is>
      </c>
      <c r="M20" s="42" t="inlineStr">
        <is>
          <t>—</t>
        </is>
      </c>
      <c r="N20" s="42" t="inlineStr">
        <is>
          <t>📋 นัดประชุม</t>
        </is>
      </c>
    </row>
    <row r="21" ht="14" customHeight="1">
      <c r="A21" s="42" t="n">
        <v>17</v>
      </c>
      <c r="B21" s="42" t="inlineStr">
        <is>
          <t>PL760</t>
        </is>
      </c>
      <c r="C21" s="43" t="inlineStr">
        <is>
          <t>ชาคริส</t>
        </is>
      </c>
      <c r="D21" s="42" t="inlineStr">
        <is>
          <t>2026-03</t>
        </is>
      </c>
      <c r="E21" s="43" t="inlineStr">
        <is>
          <t>POLE WITH BRACKET L2.5M. H9M 4</t>
        </is>
      </c>
      <c r="F21" s="43" t="inlineStr">
        <is>
          <t>LKT. 2026-03-760</t>
        </is>
      </c>
      <c r="G21" s="76" t="n">
        <v>2058107.8</v>
      </c>
      <c r="H21" s="76" t="n">
        <v>144067.55</v>
      </c>
      <c r="I21" s="76" t="n">
        <v>2202175.35</v>
      </c>
      <c r="J21" s="42" t="inlineStr">
        <is>
          <t>📞 ติดตาม-High</t>
        </is>
      </c>
      <c r="K21" s="42" t="inlineStr">
        <is>
          <t>—</t>
        </is>
      </c>
      <c r="L21" s="42" t="inlineStr">
        <is>
          <t>สูง</t>
        </is>
      </c>
      <c r="M21" s="42" t="inlineStr">
        <is>
          <t>—</t>
        </is>
      </c>
      <c r="N21" s="42" t="inlineStr">
        <is>
          <t>📋 นัดประชุม</t>
        </is>
      </c>
    </row>
    <row r="22" ht="14" customHeight="1">
      <c r="A22" s="42" t="n">
        <v>18</v>
      </c>
      <c r="B22" s="42" t="inlineStr">
        <is>
          <t>PL781</t>
        </is>
      </c>
      <c r="C22" s="43" t="inlineStr">
        <is>
          <t>อุดมไลท์ติ้ง</t>
        </is>
      </c>
      <c r="D22" s="42" t="inlineStr">
        <is>
          <t>2026-03</t>
        </is>
      </c>
      <c r="E22" s="43" t="inlineStr">
        <is>
          <t>Pole With Bracket 5M-T4-TR</t>
        </is>
      </c>
      <c r="F22" s="43" t="inlineStr">
        <is>
          <t>LKT. 2026-03 -PL781</t>
        </is>
      </c>
      <c r="G22" s="76" t="n">
        <v>2053590</v>
      </c>
      <c r="H22" s="76" t="n">
        <v>143751.3</v>
      </c>
      <c r="I22" s="76" t="n">
        <v>2197341.3</v>
      </c>
      <c r="J22" s="42" t="inlineStr">
        <is>
          <t>📞 ติดตาม-High</t>
        </is>
      </c>
      <c r="K22" s="42" t="inlineStr">
        <is>
          <t>—</t>
        </is>
      </c>
      <c r="L22" s="42" t="inlineStr">
        <is>
          <t>สูง</t>
        </is>
      </c>
      <c r="M22" s="42" t="inlineStr">
        <is>
          <t>—</t>
        </is>
      </c>
      <c r="N22" s="42" t="inlineStr">
        <is>
          <t>📋 นัดประชุม</t>
        </is>
      </c>
    </row>
    <row r="23" ht="14" customHeight="1">
      <c r="A23" s="42" t="n">
        <v>19</v>
      </c>
      <c r="B23" s="42" t="inlineStr">
        <is>
          <t>PL689</t>
        </is>
      </c>
      <c r="C23" s="43" t="inlineStr">
        <is>
          <t>หจก.ชนก อิเล็คทริค</t>
        </is>
      </c>
      <c r="D23" s="42" t="inlineStr">
        <is>
          <t>2026-02</t>
        </is>
      </c>
      <c r="E23" s="43" t="inlineStr">
        <is>
          <t>BTFL-ZC03-LED FLOODLIGHT 400W/</t>
        </is>
      </c>
      <c r="F23" s="43" t="inlineStr">
        <is>
          <t>LKT. 2026-02 -PL688</t>
        </is>
      </c>
      <c r="G23" s="76" t="n">
        <v>1972740</v>
      </c>
      <c r="H23" s="76" t="n">
        <v>138091.8</v>
      </c>
      <c r="I23" s="76" t="n">
        <v>2110831.8</v>
      </c>
      <c r="J23" s="42" t="inlineStr">
        <is>
          <t>📞 ติดตาม-High</t>
        </is>
      </c>
      <c r="K23" s="42" t="inlineStr">
        <is>
          <t>—</t>
        </is>
      </c>
      <c r="L23" s="42" t="inlineStr">
        <is>
          <t>สูง</t>
        </is>
      </c>
      <c r="M23" s="42" t="inlineStr">
        <is>
          <t>—</t>
        </is>
      </c>
      <c r="N23" s="42" t="inlineStr">
        <is>
          <t>📋 นัดประชุม</t>
        </is>
      </c>
    </row>
    <row r="24" ht="14" customHeight="1">
      <c r="A24" s="42" t="n">
        <v>20</v>
      </c>
      <c r="B24" s="42" t="inlineStr">
        <is>
          <t>PL837</t>
        </is>
      </c>
      <c r="C24" s="43" t="inlineStr">
        <is>
          <t>บ.ยูเนียน ทราฟฟิค</t>
        </is>
      </c>
      <c r="D24" s="42" t="inlineStr">
        <is>
          <t>2026-04</t>
        </is>
      </c>
      <c r="E24" s="43" t="inlineStr">
        <is>
          <t>เสาการดเรล OD100 H2.0M</t>
        </is>
      </c>
      <c r="F24" s="43" t="inlineStr">
        <is>
          <t>LKT. 2026-04 -PL837</t>
        </is>
      </c>
      <c r="G24" s="76" t="n">
        <v>1966887.44</v>
      </c>
      <c r="H24" s="76" t="n">
        <v>137682.12</v>
      </c>
      <c r="I24" s="76" t="n">
        <v>2104569.56</v>
      </c>
      <c r="J24" s="42" t="inlineStr">
        <is>
          <t>📞 ติดตาม-High</t>
        </is>
      </c>
      <c r="K24" s="42" t="inlineStr">
        <is>
          <t>—</t>
        </is>
      </c>
      <c r="L24" s="42" t="inlineStr">
        <is>
          <t>สูง</t>
        </is>
      </c>
      <c r="M24" s="42" t="inlineStr">
        <is>
          <t>—</t>
        </is>
      </c>
      <c r="N24" s="42" t="inlineStr">
        <is>
          <t>📋 นัดประชุม</t>
        </is>
      </c>
    </row>
    <row r="25" ht="14" customHeight="1">
      <c r="A25" s="42" t="n">
        <v>21</v>
      </c>
      <c r="B25" s="42" t="inlineStr">
        <is>
          <t>PL853</t>
        </is>
      </c>
      <c r="C25" s="43" t="inlineStr">
        <is>
          <t>เอสไลน์พาวเวอร์ [Dealer ใต้]</t>
        </is>
      </c>
      <c r="D25" s="42" t="inlineStr">
        <is>
          <t>2026-05</t>
        </is>
      </c>
      <c r="E25" s="43" t="inlineStr">
        <is>
          <t>Pole With Bracket 9M-T4-TR</t>
        </is>
      </c>
      <c r="F25" s="43" t="inlineStr">
        <is>
          <t>LKT. 2026-05 -PL853</t>
        </is>
      </c>
      <c r="G25" s="76" t="n">
        <v>1896496</v>
      </c>
      <c r="H25" s="76" t="n">
        <v>132754.72</v>
      </c>
      <c r="I25" s="76" t="n">
        <v>2029250.72</v>
      </c>
      <c r="J25" s="42" t="inlineStr">
        <is>
          <t>📞 ติดตาม-High</t>
        </is>
      </c>
      <c r="K25" s="42" t="inlineStr">
        <is>
          <t>—</t>
        </is>
      </c>
      <c r="L25" s="42" t="inlineStr">
        <is>
          <t>สูง</t>
        </is>
      </c>
      <c r="M25" s="42" t="inlineStr">
        <is>
          <t>—</t>
        </is>
      </c>
      <c r="N25" s="42" t="inlineStr">
        <is>
          <t>📋 นัดประชุม</t>
        </is>
      </c>
    </row>
    <row r="26" ht="14" customHeight="1">
      <c r="A26" s="42" t="n">
        <v>22</v>
      </c>
      <c r="B26" s="42" t="inlineStr">
        <is>
          <t>PL610</t>
        </is>
      </c>
      <c r="C26" s="43" t="inlineStr">
        <is>
          <t>ที เค</t>
        </is>
      </c>
      <c r="D26" s="42" t="inlineStr">
        <is>
          <t>2026-01</t>
        </is>
      </c>
      <c r="E26" s="43" t="inlineStr">
        <is>
          <t>Pole With Bracket 9M-T4-TR</t>
        </is>
      </c>
      <c r="F26" s="43" t="inlineStr">
        <is>
          <t>LKT. 2026-01 -PL610</t>
        </is>
      </c>
      <c r="G26" s="76" t="n">
        <v>1881012</v>
      </c>
      <c r="H26" s="76" t="n">
        <v>131670.84</v>
      </c>
      <c r="I26" s="76" t="n">
        <v>2012682.84</v>
      </c>
      <c r="J26" s="42" t="inlineStr">
        <is>
          <t>📞 ติดตาม-High</t>
        </is>
      </c>
      <c r="K26" s="42" t="inlineStr">
        <is>
          <t>—</t>
        </is>
      </c>
      <c r="L26" s="42" t="inlineStr">
        <is>
          <t>สูง</t>
        </is>
      </c>
      <c r="M26" s="42" t="inlineStr">
        <is>
          <t>—</t>
        </is>
      </c>
      <c r="N26" s="42" t="inlineStr">
        <is>
          <t>📋 นัดประชุม</t>
        </is>
      </c>
    </row>
    <row r="27" ht="14" customHeight="1">
      <c r="A27" s="42" t="n">
        <v>23</v>
      </c>
      <c r="B27" s="42" t="inlineStr">
        <is>
          <t>PL628</t>
        </is>
      </c>
      <c r="C27" s="43" t="inlineStr">
        <is>
          <t>ธนาภา เทคโนโลยี่</t>
        </is>
      </c>
      <c r="D27" s="42" t="inlineStr">
        <is>
          <t>2026-01</t>
        </is>
      </c>
      <c r="E27" s="43" t="inlineStr">
        <is>
          <t>อื่นๆ</t>
        </is>
      </c>
      <c r="F27" s="43" t="inlineStr">
        <is>
          <t>LKT. 2026-01 -PL628</t>
        </is>
      </c>
      <c r="G27" s="76" t="n">
        <v>1860800</v>
      </c>
      <c r="H27" s="76" t="n">
        <v>130256</v>
      </c>
      <c r="I27" s="76" t="n">
        <v>1991056</v>
      </c>
      <c r="J27" s="42" t="inlineStr">
        <is>
          <t>📞 ติดตาม-High</t>
        </is>
      </c>
      <c r="K27" s="42" t="inlineStr">
        <is>
          <t>—</t>
        </is>
      </c>
      <c r="L27" s="42" t="inlineStr">
        <is>
          <t>สูง</t>
        </is>
      </c>
      <c r="M27" s="42" t="inlineStr">
        <is>
          <t>—</t>
        </is>
      </c>
      <c r="N27" s="42" t="inlineStr">
        <is>
          <t>📋 นัดประชุม</t>
        </is>
      </c>
    </row>
    <row r="28" ht="14" customHeight="1">
      <c r="A28" s="42" t="n">
        <v>24</v>
      </c>
      <c r="B28" s="42" t="inlineStr">
        <is>
          <t>PL887</t>
        </is>
      </c>
      <c r="C28" s="43" t="inlineStr">
        <is>
          <t>บิว</t>
        </is>
      </c>
      <c r="D28" s="42" t="inlineStr">
        <is>
          <t>2026-05</t>
        </is>
      </c>
      <c r="E28" s="43" t="inlineStr">
        <is>
          <t>Pole With Bracket 6M-T4-TR</t>
        </is>
      </c>
      <c r="F28" s="43" t="inlineStr">
        <is>
          <t>LKT. 2026-05-887</t>
        </is>
      </c>
      <c r="G28" s="76" t="n">
        <v>1595224.4</v>
      </c>
      <c r="H28" s="76" t="n">
        <v>111665.71</v>
      </c>
      <c r="I28" s="76" t="n">
        <v>1706890.11</v>
      </c>
      <c r="J28" s="42" t="inlineStr">
        <is>
          <t>📞 ติดตาม-High</t>
        </is>
      </c>
      <c r="K28" s="42" t="inlineStr">
        <is>
          <t>—</t>
        </is>
      </c>
      <c r="L28" s="42" t="inlineStr">
        <is>
          <t>สูง</t>
        </is>
      </c>
      <c r="M28" s="42" t="inlineStr">
        <is>
          <t>—</t>
        </is>
      </c>
      <c r="N28" s="42" t="inlineStr">
        <is>
          <t>📋 นัดประชุม</t>
        </is>
      </c>
    </row>
    <row r="29" ht="14" customHeight="1">
      <c r="A29" s="42" t="n">
        <v>25</v>
      </c>
      <c r="B29" s="42" t="inlineStr">
        <is>
          <t>PL924</t>
        </is>
      </c>
      <c r="C29" s="43" t="inlineStr">
        <is>
          <t>บริษัท บริลลิแอนซ์ จำกัด</t>
        </is>
      </c>
      <c r="D29" s="42" t="inlineStr">
        <is>
          <t>2026-06</t>
        </is>
      </c>
      <c r="E29" s="43" t="inlineStr">
        <is>
          <t>Post Top PoleตัวT18M+Arm Brack</t>
        </is>
      </c>
      <c r="F29" s="43" t="inlineStr">
        <is>
          <t>LKT. 2026-06 -PL924</t>
        </is>
      </c>
      <c r="G29" s="76" t="n">
        <v>1565000</v>
      </c>
      <c r="H29" s="76" t="n">
        <v>107359</v>
      </c>
      <c r="I29" s="76" t="n">
        <v>1641059</v>
      </c>
      <c r="J29" s="42" t="inlineStr">
        <is>
          <t>📞 ติดตาม-High</t>
        </is>
      </c>
      <c r="K29" s="42" t="inlineStr">
        <is>
          <t>—</t>
        </is>
      </c>
      <c r="L29" s="42" t="inlineStr">
        <is>
          <t>สูง</t>
        </is>
      </c>
      <c r="M29" s="42" t="inlineStr">
        <is>
          <t>—</t>
        </is>
      </c>
      <c r="N29" s="42" t="inlineStr">
        <is>
          <t>📋 นัดประชุม</t>
        </is>
      </c>
    </row>
    <row r="30" ht="14" customHeight="1">
      <c r="A30" s="42" t="n">
        <v>26</v>
      </c>
      <c r="B30" s="42" t="inlineStr">
        <is>
          <t>PL708</t>
        </is>
      </c>
      <c r="C30" s="43" t="inlineStr">
        <is>
          <t>บ.เอส.บี.อินดัสทรี ซัพพลาย R01</t>
        </is>
      </c>
      <c r="D30" s="42" t="inlineStr">
        <is>
          <t>2026-02</t>
        </is>
      </c>
      <c r="E30" s="43" t="inlineStr">
        <is>
          <t>High mast Pole 15 M วงแหวน 8 โ</t>
        </is>
      </c>
      <c r="F30" s="43" t="inlineStr">
        <is>
          <t>LKT. 2026-02 -PL707</t>
        </is>
      </c>
      <c r="G30" s="76" t="n">
        <v>1458847.6</v>
      </c>
      <c r="H30" s="76" t="n">
        <v>102119.33</v>
      </c>
      <c r="I30" s="76" t="n">
        <v>1560966.93</v>
      </c>
      <c r="J30" s="42" t="inlineStr">
        <is>
          <t>📞 ติดตาม-High</t>
        </is>
      </c>
      <c r="K30" s="42" t="inlineStr">
        <is>
          <t>—</t>
        </is>
      </c>
      <c r="L30" s="42" t="inlineStr">
        <is>
          <t>สูง</t>
        </is>
      </c>
      <c r="M30" s="42" t="inlineStr">
        <is>
          <t>—</t>
        </is>
      </c>
      <c r="N30" s="42" t="inlineStr">
        <is>
          <t>📋 นัดประชุม</t>
        </is>
      </c>
    </row>
    <row r="31" ht="14" customHeight="1">
      <c r="A31" s="42" t="n">
        <v>27</v>
      </c>
      <c r="B31" s="42" t="inlineStr">
        <is>
          <t>PL701</t>
        </is>
      </c>
      <c r="C31" s="43" t="inlineStr">
        <is>
          <t>กรมท่าอากาศ</t>
        </is>
      </c>
      <c r="D31" s="42" t="inlineStr">
        <is>
          <t>2026-02</t>
        </is>
      </c>
      <c r="E31" s="43" t="inlineStr">
        <is>
          <t>High Mast 25M+Support 3ชั้น H1</t>
        </is>
      </c>
      <c r="F31" s="43" t="inlineStr">
        <is>
          <t>LKT. 2026-02 -PL701</t>
        </is>
      </c>
      <c r="G31" s="76" t="n">
        <v>1404750</v>
      </c>
      <c r="H31" s="76" t="n">
        <v>98332.5</v>
      </c>
      <c r="I31" s="76" t="n">
        <v>1503082.5</v>
      </c>
      <c r="J31" s="42" t="inlineStr">
        <is>
          <t>📞 ติดตาม-High</t>
        </is>
      </c>
      <c r="K31" s="42" t="inlineStr">
        <is>
          <t>—</t>
        </is>
      </c>
      <c r="L31" s="42" t="inlineStr">
        <is>
          <t>สูง</t>
        </is>
      </c>
      <c r="M31" s="42" t="inlineStr">
        <is>
          <t>—</t>
        </is>
      </c>
      <c r="N31" s="42" t="inlineStr">
        <is>
          <t>📋 นัดประชุม</t>
        </is>
      </c>
    </row>
    <row r="32" ht="14" customHeight="1">
      <c r="A32" s="42" t="n">
        <v>28</v>
      </c>
      <c r="B32" s="42" t="inlineStr">
        <is>
          <t>PL652</t>
        </is>
      </c>
      <c r="C32" s="43" t="inlineStr">
        <is>
          <t>สมบูรณ์อิเล็คทริค</t>
        </is>
      </c>
      <c r="D32" s="42" t="inlineStr">
        <is>
          <t>2026-01</t>
        </is>
      </c>
      <c r="E32" s="43" t="inlineStr">
        <is>
          <t>HIGH MAST POLE 15M วงแหวน 8โคม</t>
        </is>
      </c>
      <c r="F32" s="43" t="inlineStr">
        <is>
          <t>LKT. 2026-01 -PL652</t>
        </is>
      </c>
      <c r="G32" s="76" t="n">
        <v>1371176.8</v>
      </c>
      <c r="H32" s="76" t="n">
        <v>95982.38</v>
      </c>
      <c r="I32" s="76" t="n">
        <v>1467159.18</v>
      </c>
      <c r="J32" s="42" t="inlineStr">
        <is>
          <t>📞 ติดตาม-High</t>
        </is>
      </c>
      <c r="K32" s="42" t="inlineStr">
        <is>
          <t>—</t>
        </is>
      </c>
      <c r="L32" s="42" t="inlineStr">
        <is>
          <t>สูง</t>
        </is>
      </c>
      <c r="M32" s="42" t="inlineStr">
        <is>
          <t>—</t>
        </is>
      </c>
      <c r="N32" s="42" t="inlineStr">
        <is>
          <t>📋 นัดประชุม</t>
        </is>
      </c>
    </row>
    <row r="33" ht="14" customHeight="1">
      <c r="A33" s="42" t="n">
        <v>29</v>
      </c>
      <c r="B33" s="42" t="inlineStr">
        <is>
          <t>PL721</t>
        </is>
      </c>
      <c r="C33" s="43" t="inlineStr">
        <is>
          <t>ไลท์อัพ</t>
        </is>
      </c>
      <c r="D33" s="42" t="inlineStr">
        <is>
          <t>2026-02</t>
        </is>
      </c>
      <c r="E33" s="43" t="inlineStr">
        <is>
          <t>High Mast 30 M PCD750 M42 12Ho</t>
        </is>
      </c>
      <c r="F33" s="43" t="inlineStr">
        <is>
          <t>LKT. 2026-02-721</t>
        </is>
      </c>
      <c r="G33" s="76" t="n">
        <v>1307712</v>
      </c>
      <c r="H33" s="76" t="n">
        <v>91539.84</v>
      </c>
      <c r="I33" s="76" t="n">
        <v>1399251.84</v>
      </c>
      <c r="J33" s="42" t="inlineStr">
        <is>
          <t>📞 ติดตาม-High</t>
        </is>
      </c>
      <c r="K33" s="42" t="inlineStr">
        <is>
          <t>—</t>
        </is>
      </c>
      <c r="L33" s="42" t="inlineStr">
        <is>
          <t>สูง</t>
        </is>
      </c>
      <c r="M33" s="42" t="inlineStr">
        <is>
          <t>—</t>
        </is>
      </c>
      <c r="N33" s="42" t="inlineStr">
        <is>
          <t>📋 นัดประชุม</t>
        </is>
      </c>
    </row>
    <row r="34" ht="14" customHeight="1">
      <c r="A34" s="42" t="n">
        <v>30</v>
      </c>
      <c r="B34" s="42" t="inlineStr">
        <is>
          <t>PL772</t>
        </is>
      </c>
      <c r="C34" s="43" t="inlineStr">
        <is>
          <t>บ.ควินตัส แอดวานซ์</t>
        </is>
      </c>
      <c r="D34" s="42" t="inlineStr">
        <is>
          <t>2026-03</t>
        </is>
      </c>
      <c r="E34" s="43" t="inlineStr">
        <is>
          <t>High Mast 25M+Support 3ชั้น H1</t>
        </is>
      </c>
      <c r="F34" s="43" t="inlineStr">
        <is>
          <t>LKT. 2026-02 -PL772</t>
        </is>
      </c>
      <c r="G34" s="76" t="n">
        <v>1299540</v>
      </c>
      <c r="H34" s="76" t="n">
        <v>90967.8</v>
      </c>
      <c r="I34" s="76" t="n">
        <v>1390507.8</v>
      </c>
      <c r="J34" s="42" t="inlineStr">
        <is>
          <t>📞 ติดตาม-High</t>
        </is>
      </c>
      <c r="K34" s="42" t="inlineStr">
        <is>
          <t>—</t>
        </is>
      </c>
      <c r="L34" s="42" t="inlineStr">
        <is>
          <t>สูง</t>
        </is>
      </c>
      <c r="M34" s="42" t="inlineStr">
        <is>
          <t>DOA</t>
        </is>
      </c>
      <c r="N34" s="42" t="inlineStr">
        <is>
          <t>📋 นัดประชุม</t>
        </is>
      </c>
    </row>
    <row r="35" ht="14" customHeight="1">
      <c r="A35" s="42" t="n">
        <v>31</v>
      </c>
      <c r="B35" s="42" t="inlineStr">
        <is>
          <t>PL938</t>
        </is>
      </c>
      <c r="C35" s="43" t="inlineStr">
        <is>
          <t>เทศบาลเมืองตราด</t>
        </is>
      </c>
      <c r="D35" s="42" t="inlineStr">
        <is>
          <t>2026-06</t>
        </is>
      </c>
      <c r="E35" s="43" t="inlineStr">
        <is>
          <t>High Mast 15M+Floodlight 400W+</t>
        </is>
      </c>
      <c r="F35" s="43" t="inlineStr">
        <is>
          <t>LKT. 2026-06 -PL938</t>
        </is>
      </c>
      <c r="G35" s="76" t="n">
        <v>1241571.8</v>
      </c>
      <c r="H35" s="76" t="n">
        <v>86910.03</v>
      </c>
      <c r="I35" s="76" t="n">
        <v>1328481.83</v>
      </c>
      <c r="J35" s="42" t="inlineStr">
        <is>
          <t>📞 ติดตาม-High</t>
        </is>
      </c>
      <c r="K35" s="42" t="inlineStr">
        <is>
          <t>—</t>
        </is>
      </c>
      <c r="L35" s="42" t="inlineStr">
        <is>
          <t>สูง</t>
        </is>
      </c>
      <c r="M35" s="42" t="inlineStr">
        <is>
          <t>—</t>
        </is>
      </c>
      <c r="N35" s="42" t="inlineStr">
        <is>
          <t>📋 นัดประชุม</t>
        </is>
      </c>
    </row>
    <row r="36" ht="14" customHeight="1">
      <c r="A36" s="42" t="n">
        <v>32</v>
      </c>
      <c r="B36" s="42" t="inlineStr">
        <is>
          <t>PL875</t>
        </is>
      </c>
      <c r="C36" s="43" t="inlineStr">
        <is>
          <t>บริษัท โกลว์ พาวเวอร์ เทคโนโลยี จำกัด</t>
        </is>
      </c>
      <c r="D36" s="42" t="inlineStr">
        <is>
          <t>2026-05</t>
        </is>
      </c>
      <c r="E36" s="43" t="inlineStr">
        <is>
          <t>อื่นๆ</t>
        </is>
      </c>
      <c r="F36" s="43" t="inlineStr">
        <is>
          <t>LKT. 2026-05-PL875</t>
        </is>
      </c>
      <c r="G36" s="76" t="n">
        <v>1218700</v>
      </c>
      <c r="H36" s="76" t="n">
        <v>85309</v>
      </c>
      <c r="I36" s="76" t="n">
        <v>1304009</v>
      </c>
      <c r="J36" s="42" t="inlineStr">
        <is>
          <t>📞 ติดตาม-High</t>
        </is>
      </c>
      <c r="K36" s="42" t="inlineStr">
        <is>
          <t>—</t>
        </is>
      </c>
      <c r="L36" s="42" t="inlineStr">
        <is>
          <t>สูง</t>
        </is>
      </c>
      <c r="M36" s="42" t="inlineStr">
        <is>
          <t>EGAT</t>
        </is>
      </c>
      <c r="N36" s="42" t="inlineStr">
        <is>
          <t>📋 นัดประชุม</t>
        </is>
      </c>
    </row>
    <row r="37" ht="14" customHeight="1">
      <c r="A37" s="42" t="n">
        <v>33</v>
      </c>
      <c r="B37" s="42" t="inlineStr">
        <is>
          <t>PL771</t>
        </is>
      </c>
      <c r="C37" s="43" t="inlineStr">
        <is>
          <t>ดับเบิ้ลเอ เอ็นจิเนียริ่ง  Hight Mass 15</t>
        </is>
      </c>
      <c r="D37" s="42" t="inlineStr">
        <is>
          <t>2026-03</t>
        </is>
      </c>
      <c r="E37" s="43" t="inlineStr">
        <is>
          <t>High mast Pole 15 M วงแหวน 8 โ</t>
        </is>
      </c>
      <c r="F37" s="43" t="inlineStr">
        <is>
          <t>LKT. 2026-03 -PL771</t>
        </is>
      </c>
      <c r="G37" s="76" t="n">
        <v>1137388</v>
      </c>
      <c r="H37" s="76" t="n">
        <v>79617.16</v>
      </c>
      <c r="I37" s="76" t="n">
        <v>1217005.16</v>
      </c>
      <c r="J37" s="42" t="inlineStr">
        <is>
          <t>📞 ติดตาม-High</t>
        </is>
      </c>
      <c r="K37" s="42" t="inlineStr">
        <is>
          <t>—</t>
        </is>
      </c>
      <c r="L37" s="42" t="inlineStr">
        <is>
          <t>สูง</t>
        </is>
      </c>
      <c r="M37" s="42" t="inlineStr">
        <is>
          <t>—</t>
        </is>
      </c>
      <c r="N37" s="42" t="inlineStr">
        <is>
          <t>📋 นัดประชุม</t>
        </is>
      </c>
    </row>
    <row r="38" ht="14" customHeight="1">
      <c r="A38" s="42" t="n">
        <v>34</v>
      </c>
      <c r="B38" s="42" t="inlineStr">
        <is>
          <t>PL607</t>
        </is>
      </c>
      <c r="C38" s="43" t="inlineStr">
        <is>
          <t>อินเตอร์ เอ็กซ์เพิร์ท</t>
        </is>
      </c>
      <c r="D38" s="42" t="inlineStr">
        <is>
          <t>2026-01</t>
        </is>
      </c>
      <c r="E38" s="43" t="inlineStr">
        <is>
          <t>High Mast 15 M PCD550 M32 8 Ho</t>
        </is>
      </c>
      <c r="F38" s="43" t="inlineStr">
        <is>
          <t>LKT. 2026-01 -PL607</t>
        </is>
      </c>
      <c r="G38" s="76" t="n">
        <v>1068540.6</v>
      </c>
      <c r="H38" s="76" t="n">
        <v>74797.84</v>
      </c>
      <c r="I38" s="76" t="n">
        <v>1143338.44</v>
      </c>
      <c r="J38" s="42" t="inlineStr">
        <is>
          <t>📞 ติดตาม-High</t>
        </is>
      </c>
      <c r="K38" s="42" t="inlineStr">
        <is>
          <t>—</t>
        </is>
      </c>
      <c r="L38" s="42" t="inlineStr">
        <is>
          <t>สูง</t>
        </is>
      </c>
      <c r="M38" s="42" t="inlineStr">
        <is>
          <t>—</t>
        </is>
      </c>
      <c r="N38" s="42" t="inlineStr">
        <is>
          <t>📋 นัดประชุม</t>
        </is>
      </c>
    </row>
    <row r="39" ht="14" customHeight="1">
      <c r="A39" s="42" t="n">
        <v>35</v>
      </c>
      <c r="B39" s="42" t="inlineStr">
        <is>
          <t>PL783</t>
        </is>
      </c>
      <c r="C39" s="43" t="inlineStr">
        <is>
          <t>เอเชี่ยน</t>
        </is>
      </c>
      <c r="D39" s="42" t="inlineStr">
        <is>
          <t>2026-03</t>
        </is>
      </c>
      <c r="E39" s="43" t="inlineStr">
        <is>
          <t>Pole With Bracket 6M-T4-TR</t>
        </is>
      </c>
      <c r="F39" s="43" t="inlineStr">
        <is>
          <t>LKT. 2026-03 -PL783</t>
        </is>
      </c>
      <c r="G39" s="76" t="n">
        <v>1031420.6</v>
      </c>
      <c r="H39" s="76" t="n">
        <v>72199.44</v>
      </c>
      <c r="I39" s="76" t="n">
        <v>1103620.04</v>
      </c>
      <c r="J39" s="42" t="inlineStr">
        <is>
          <t>📞 ติดตาม-High</t>
        </is>
      </c>
      <c r="K39" s="42" t="inlineStr">
        <is>
          <t>—</t>
        </is>
      </c>
      <c r="L39" s="42" t="inlineStr">
        <is>
          <t>สูง</t>
        </is>
      </c>
      <c r="M39" s="42" t="inlineStr">
        <is>
          <t>—</t>
        </is>
      </c>
      <c r="N39" s="42" t="inlineStr">
        <is>
          <t>📋 นัดประชุม</t>
        </is>
      </c>
    </row>
    <row r="40" ht="14" customHeight="1">
      <c r="A40" s="42" t="n">
        <v>36</v>
      </c>
      <c r="B40" s="42" t="inlineStr">
        <is>
          <t>PL620</t>
        </is>
      </c>
      <c r="C40" s="43" t="inlineStr">
        <is>
          <t>อินเตอร์ เอ็กซ์เพิร์ท  R03</t>
        </is>
      </c>
      <c r="D40" s="42" t="inlineStr">
        <is>
          <t>2026-01</t>
        </is>
      </c>
      <c r="E40" s="43" t="inlineStr">
        <is>
          <t>High Mast 15 M PCD550 M32 8 Ho</t>
        </is>
      </c>
      <c r="F40" s="43" t="inlineStr">
        <is>
          <t>LKT. 2025-08 -PL337</t>
        </is>
      </c>
      <c r="G40" s="76" t="n">
        <v>1017041.6</v>
      </c>
      <c r="H40" s="76" t="n">
        <v>71192.91</v>
      </c>
      <c r="I40" s="76" t="n">
        <v>1088234.51</v>
      </c>
      <c r="J40" s="42" t="inlineStr">
        <is>
          <t>📞 ติดตาม-High</t>
        </is>
      </c>
      <c r="K40" s="42" t="inlineStr">
        <is>
          <t>—</t>
        </is>
      </c>
      <c r="L40" s="42" t="inlineStr">
        <is>
          <t>สูง</t>
        </is>
      </c>
      <c r="M40" s="42" t="inlineStr">
        <is>
          <t>—</t>
        </is>
      </c>
      <c r="N40" s="42" t="inlineStr">
        <is>
          <t>📋 นัดประชุม</t>
        </is>
      </c>
    </row>
    <row r="41" ht="14" customHeight="1">
      <c r="A41" s="42" t="n">
        <v>37</v>
      </c>
      <c r="B41" s="42" t="inlineStr">
        <is>
          <t>PL940</t>
        </is>
      </c>
      <c r="C41" s="43" t="inlineStr">
        <is>
          <t>บริษัท โพรเซสเอ็นจิเนียรแอนดคอนซัลแทนท จำกัด</t>
        </is>
      </c>
      <c r="D41" s="42" t="inlineStr">
        <is>
          <t>2026-06</t>
        </is>
      </c>
      <c r="E41" s="43" t="inlineStr">
        <is>
          <t xml:space="preserve">High Mast 20M+Floodlight 400W </t>
        </is>
      </c>
      <c r="F41" s="43" t="inlineStr">
        <is>
          <t>LKT. 2026-06 -PL940</t>
        </is>
      </c>
      <c r="G41" s="76" t="n">
        <v>1009576</v>
      </c>
      <c r="H41" s="76" t="n">
        <v>70670.32000000001</v>
      </c>
      <c r="I41" s="76" t="n">
        <v>1080246.32</v>
      </c>
      <c r="J41" s="42" t="inlineStr">
        <is>
          <t>📞 ติดตาม-High</t>
        </is>
      </c>
      <c r="K41" s="42" t="inlineStr">
        <is>
          <t>—</t>
        </is>
      </c>
      <c r="L41" s="42" t="inlineStr">
        <is>
          <t>สูง</t>
        </is>
      </c>
      <c r="M41" s="42" t="inlineStr">
        <is>
          <t>—</t>
        </is>
      </c>
      <c r="N41" s="42" t="inlineStr">
        <is>
          <t>📋 นัดประชุม</t>
        </is>
      </c>
    </row>
    <row r="42" ht="14" customHeight="1">
      <c r="A42" s="42" t="n">
        <v>38</v>
      </c>
      <c r="B42" s="42" t="inlineStr">
        <is>
          <t>PL751</t>
        </is>
      </c>
      <c r="C42" s="43" t="inlineStr">
        <is>
          <t>ไลท์คอนเนอร์</t>
        </is>
      </c>
      <c r="D42" s="42" t="inlineStr">
        <is>
          <t>2026-03</t>
        </is>
      </c>
      <c r="E42" s="43" t="inlineStr">
        <is>
          <t xml:space="preserve">โคมไฟถนนหลังเตา E40 HPS 250W </t>
        </is>
      </c>
      <c r="F42" s="43" t="inlineStr">
        <is>
          <t>LKT. 2026-03-751</t>
        </is>
      </c>
      <c r="G42" s="76" t="n">
        <v>999600</v>
      </c>
      <c r="H42" s="76" t="n">
        <v>69972</v>
      </c>
      <c r="I42" s="76" t="n">
        <v>1069572</v>
      </c>
      <c r="J42" s="42" t="inlineStr">
        <is>
          <t>📞 ติดตาม-High</t>
        </is>
      </c>
      <c r="K42" s="42" t="inlineStr">
        <is>
          <t>—</t>
        </is>
      </c>
      <c r="L42" s="42" t="inlineStr">
        <is>
          <t>สูง</t>
        </is>
      </c>
      <c r="M42" s="42" t="inlineStr">
        <is>
          <t>—</t>
        </is>
      </c>
      <c r="N42" s="42" t="inlineStr">
        <is>
          <t>📋 นัดประชุม</t>
        </is>
      </c>
    </row>
    <row r="43" ht="14" customHeight="1">
      <c r="A43" s="42" t="n">
        <v>39</v>
      </c>
      <c r="B43" s="42" t="inlineStr">
        <is>
          <t>PL691</t>
        </is>
      </c>
      <c r="C43" s="43" t="inlineStr">
        <is>
          <t>ยูเนี่ยนกัลวาไนซ์</t>
        </is>
      </c>
      <c r="D43" s="42" t="inlineStr">
        <is>
          <t>2026-02</t>
        </is>
      </c>
      <c r="E43" s="43" t="inlineStr">
        <is>
          <t xml:space="preserve">High mast Pole 30 M วงแหวน 10 </t>
        </is>
      </c>
      <c r="F43" s="43" t="inlineStr">
        <is>
          <t>LKT. 2026-02 -PL691</t>
        </is>
      </c>
      <c r="G43" s="76" t="n">
        <v>994896</v>
      </c>
      <c r="H43" s="76" t="n">
        <v>69642.72</v>
      </c>
      <c r="I43" s="76" t="n">
        <v>1064538.72</v>
      </c>
      <c r="J43" s="42" t="inlineStr">
        <is>
          <t>📞 ติดตาม-High</t>
        </is>
      </c>
      <c r="K43" s="42" t="inlineStr">
        <is>
          <t>—</t>
        </is>
      </c>
      <c r="L43" s="42" t="inlineStr">
        <is>
          <t>สูง</t>
        </is>
      </c>
      <c r="M43" s="42" t="inlineStr">
        <is>
          <t>—</t>
        </is>
      </c>
      <c r="N43" s="42" t="inlineStr">
        <is>
          <t>📋 นัดประชุม</t>
        </is>
      </c>
    </row>
    <row r="44" ht="14" customHeight="1">
      <c r="A44" s="42" t="n">
        <v>40</v>
      </c>
      <c r="B44" s="42" t="inlineStr">
        <is>
          <t>PL933</t>
        </is>
      </c>
      <c r="C44" s="43" t="inlineStr">
        <is>
          <t>เค บี เอ็ม   18ม.</t>
        </is>
      </c>
      <c r="D44" s="42" t="inlineStr">
        <is>
          <t>2026-06</t>
        </is>
      </c>
      <c r="E44" s="43" t="inlineStr">
        <is>
          <t>Set L-Bolt M32 L800 PCD619</t>
        </is>
      </c>
      <c r="F44" s="43" t="inlineStr">
        <is>
          <t>LKT. 2026-06 -PL933</t>
        </is>
      </c>
      <c r="G44" s="76" t="n">
        <v>967260</v>
      </c>
      <c r="H44" s="76" t="n">
        <v>67708.2</v>
      </c>
      <c r="I44" s="76" t="n">
        <v>1034968.2</v>
      </c>
      <c r="J44" s="42" t="inlineStr">
        <is>
          <t>📞 ติดตาม-High</t>
        </is>
      </c>
      <c r="K44" s="42" t="inlineStr">
        <is>
          <t>—</t>
        </is>
      </c>
      <c r="L44" s="42" t="inlineStr">
        <is>
          <t>สูง</t>
        </is>
      </c>
      <c r="M44" s="42" t="inlineStr">
        <is>
          <t>อปท. Supply</t>
        </is>
      </c>
      <c r="N44" s="42" t="inlineStr">
        <is>
          <t>📋 นัดประชุม</t>
        </is>
      </c>
    </row>
    <row r="45" ht="14" customHeight="1">
      <c r="A45" s="38" t="n">
        <v>41</v>
      </c>
      <c r="B45" s="38" t="inlineStr">
        <is>
          <t>PL673</t>
        </is>
      </c>
      <c r="C45" s="39" t="inlineStr">
        <is>
          <t>บางน้อย</t>
        </is>
      </c>
      <c r="D45" s="38" t="inlineStr">
        <is>
          <t>2026-01</t>
        </is>
      </c>
      <c r="E45" s="39" t="inlineStr">
        <is>
          <t>Pole With Bracket 9M-T4-TR</t>
        </is>
      </c>
      <c r="F45" s="39" t="inlineStr">
        <is>
          <t>LKT. 2026-01 -PL673</t>
        </is>
      </c>
      <c r="G45" s="77" t="n">
        <v>924963.2</v>
      </c>
      <c r="H45" s="77" t="n">
        <v>64747.42</v>
      </c>
      <c r="I45" s="77" t="n">
        <v>989710.62</v>
      </c>
      <c r="J45" s="38" t="inlineStr">
        <is>
          <t>📋 ติดตาม</t>
        </is>
      </c>
      <c r="K45" s="38" t="inlineStr">
        <is>
          <t>—</t>
        </is>
      </c>
      <c r="L45" s="38" t="inlineStr">
        <is>
          <t>กลาง</t>
        </is>
      </c>
      <c r="M45" s="38" t="inlineStr">
        <is>
          <t>—</t>
        </is>
      </c>
      <c r="N45" s="38" t="inlineStr">
        <is>
          <t>📧 ส่ง Email</t>
        </is>
      </c>
    </row>
    <row r="46" ht="14" customHeight="1">
      <c r="A46" s="38" t="n">
        <v>42</v>
      </c>
      <c r="B46" s="38" t="inlineStr">
        <is>
          <t>PL801</t>
        </is>
      </c>
      <c r="C46" s="39" t="inlineStr">
        <is>
          <t>บ. เอฟดี</t>
        </is>
      </c>
      <c r="D46" s="38" t="inlineStr">
        <is>
          <t>2026-04</t>
        </is>
      </c>
      <c r="E46" s="39" t="inlineStr">
        <is>
          <t xml:space="preserve">BTFL-ZC03-400W/LED FLOODLIGHT </t>
        </is>
      </c>
      <c r="F46" s="39" t="inlineStr">
        <is>
          <t>LKT. 2026-01 -PL791</t>
        </is>
      </c>
      <c r="G46" s="77" t="n">
        <v>890085</v>
      </c>
      <c r="H46" s="77" t="n">
        <v>62305.95</v>
      </c>
      <c r="I46" s="77" t="n">
        <v>952390.95</v>
      </c>
      <c r="J46" s="38" t="inlineStr">
        <is>
          <t>📋 ติดตาม</t>
        </is>
      </c>
      <c r="K46" s="38" t="inlineStr">
        <is>
          <t>—</t>
        </is>
      </c>
      <c r="L46" s="38" t="inlineStr">
        <is>
          <t>กลาง</t>
        </is>
      </c>
      <c r="M46" s="38" t="inlineStr">
        <is>
          <t>—</t>
        </is>
      </c>
      <c r="N46" s="38" t="inlineStr">
        <is>
          <t>📧 ส่ง Email</t>
        </is>
      </c>
    </row>
    <row r="47" ht="14" customHeight="1">
      <c r="A47" s="38" t="n">
        <v>43</v>
      </c>
      <c r="B47" s="38" t="inlineStr">
        <is>
          <t>PL830</t>
        </is>
      </c>
      <c r="C47" s="39" t="inlineStr">
        <is>
          <t>ช.รุ่งแสงไลท์ติ้ง</t>
        </is>
      </c>
      <c r="D47" s="38" t="inlineStr">
        <is>
          <t>2026-04</t>
        </is>
      </c>
      <c r="E47" s="39" t="inlineStr">
        <is>
          <t xml:space="preserve">เสาแปดเหลี่ยม L2.5M. H9M 4.5t </t>
        </is>
      </c>
      <c r="F47" s="39" t="inlineStr">
        <is>
          <t>LKT. 2026-04 -PL830</t>
        </is>
      </c>
      <c r="G47" s="77" t="n">
        <v>888762</v>
      </c>
      <c r="H47" s="77" t="n">
        <v>62213.34</v>
      </c>
      <c r="I47" s="77" t="n">
        <v>950975.34</v>
      </c>
      <c r="J47" s="38" t="inlineStr">
        <is>
          <t>📋 ติดตาม</t>
        </is>
      </c>
      <c r="K47" s="38" t="inlineStr">
        <is>
          <t>—</t>
        </is>
      </c>
      <c r="L47" s="38" t="inlineStr">
        <is>
          <t>กลาง</t>
        </is>
      </c>
      <c r="M47" s="38" t="inlineStr">
        <is>
          <t>—</t>
        </is>
      </c>
      <c r="N47" s="38" t="inlineStr">
        <is>
          <t>📧 ส่ง Email</t>
        </is>
      </c>
    </row>
    <row r="48" ht="14" customHeight="1">
      <c r="A48" s="38" t="n">
        <v>44</v>
      </c>
      <c r="B48" s="38" t="inlineStr">
        <is>
          <t>PL901</t>
        </is>
      </c>
      <c r="C48" s="39" t="inlineStr">
        <is>
          <t>อี อี เอส ที เรซซิ่ง 2.5</t>
        </is>
      </c>
      <c r="D48" s="38" t="inlineStr">
        <is>
          <t>2026-05</t>
        </is>
      </c>
      <c r="E48" s="39" t="inlineStr">
        <is>
          <t>เสาการดเรล OD100 H2.0M</t>
        </is>
      </c>
      <c r="F48" s="39" t="inlineStr">
        <is>
          <t>LKT. 2026-05-PL901</t>
        </is>
      </c>
      <c r="G48" s="77" t="n">
        <v>867167.7</v>
      </c>
      <c r="H48" s="77" t="n">
        <v>60701.74</v>
      </c>
      <c r="I48" s="77" t="n">
        <v>927869.4399999999</v>
      </c>
      <c r="J48" s="38" t="inlineStr">
        <is>
          <t>📋 ติดตาม</t>
        </is>
      </c>
      <c r="K48" s="38" t="inlineStr">
        <is>
          <t>—</t>
        </is>
      </c>
      <c r="L48" s="38" t="inlineStr">
        <is>
          <t>กลาง</t>
        </is>
      </c>
      <c r="M48" s="38" t="inlineStr">
        <is>
          <t>—</t>
        </is>
      </c>
      <c r="N48" s="38" t="inlineStr">
        <is>
          <t>📧 ส่ง Email</t>
        </is>
      </c>
    </row>
    <row r="49" ht="14" customHeight="1">
      <c r="A49" s="38" t="n">
        <v>45</v>
      </c>
      <c r="B49" s="38" t="inlineStr">
        <is>
          <t>PL877</t>
        </is>
      </c>
      <c r="C49" s="39" t="inlineStr">
        <is>
          <t>แสงนิยม</t>
        </is>
      </c>
      <c r="D49" s="38" t="inlineStr">
        <is>
          <t>2026-05</t>
        </is>
      </c>
      <c r="E49" s="39" t="inlineStr">
        <is>
          <t>Post Top Pole 3 M</t>
        </is>
      </c>
      <c r="F49" s="39" t="inlineStr">
        <is>
          <t>LKT. 2026-05-877</t>
        </is>
      </c>
      <c r="G49" s="77" t="n">
        <v>860440</v>
      </c>
      <c r="H49" s="77" t="n">
        <v>60230.8</v>
      </c>
      <c r="I49" s="77" t="n">
        <v>920670.8</v>
      </c>
      <c r="J49" s="38" t="inlineStr">
        <is>
          <t>📋 ติดตาม</t>
        </is>
      </c>
      <c r="K49" s="38" t="inlineStr">
        <is>
          <t>—</t>
        </is>
      </c>
      <c r="L49" s="38" t="inlineStr">
        <is>
          <t>กลาง</t>
        </is>
      </c>
      <c r="M49" s="38" t="inlineStr">
        <is>
          <t>—</t>
        </is>
      </c>
      <c r="N49" s="38" t="inlineStr">
        <is>
          <t>📧 ส่ง Email</t>
        </is>
      </c>
    </row>
    <row r="50" ht="14" customHeight="1">
      <c r="A50" s="38" t="n">
        <v>46</v>
      </c>
      <c r="B50" s="38" t="inlineStr">
        <is>
          <t>PL725</t>
        </is>
      </c>
      <c r="C50" s="39" t="inlineStr">
        <is>
          <t>ที.เอ็ม.ซี.อุตสาหกรรม</t>
        </is>
      </c>
      <c r="D50" s="38" t="inlineStr">
        <is>
          <t>2026-02</t>
        </is>
      </c>
      <c r="E50" s="39" t="inlineStr">
        <is>
          <t>Pole With Bracket 12M-T4-TR</t>
        </is>
      </c>
      <c r="F50" s="39" t="inlineStr">
        <is>
          <t>LKT. 2026-02 -PL724</t>
        </is>
      </c>
      <c r="G50" s="77" t="n">
        <v>853717.2</v>
      </c>
      <c r="H50" s="77" t="n">
        <v>59760.2</v>
      </c>
      <c r="I50" s="77" t="n">
        <v>913477.4</v>
      </c>
      <c r="J50" s="38" t="inlineStr">
        <is>
          <t>📋 ติดตาม</t>
        </is>
      </c>
      <c r="K50" s="38" t="inlineStr">
        <is>
          <t>—</t>
        </is>
      </c>
      <c r="L50" s="38" t="inlineStr">
        <is>
          <t>กลาง</t>
        </is>
      </c>
      <c r="M50" s="38" t="inlineStr">
        <is>
          <t>—</t>
        </is>
      </c>
      <c r="N50" s="38" t="inlineStr">
        <is>
          <t>📧 ส่ง Email</t>
        </is>
      </c>
    </row>
    <row r="51" ht="14" customHeight="1">
      <c r="A51" s="38" t="n">
        <v>47</v>
      </c>
      <c r="B51" s="38" t="inlineStr">
        <is>
          <t>PL939</t>
        </is>
      </c>
      <c r="C51" s="39" t="inlineStr">
        <is>
          <t>องค์การบริหารส่วนตำบลตาขัน</t>
        </is>
      </c>
      <c r="D51" s="38" t="inlineStr">
        <is>
          <t>2026-06</t>
        </is>
      </c>
      <c r="E51" s="39" t="inlineStr">
        <is>
          <t>การ์ดเรล Ø60.3×3.2t สีเทา</t>
        </is>
      </c>
      <c r="F51" s="39" t="inlineStr">
        <is>
          <t>LKT. 2026-06 -PL939</t>
        </is>
      </c>
      <c r="G51" s="77" t="n">
        <v>845503.41</v>
      </c>
      <c r="H51" s="77" t="n">
        <v>59185.24</v>
      </c>
      <c r="I51" s="77" t="n">
        <v>904688.65</v>
      </c>
      <c r="J51" s="38" t="inlineStr">
        <is>
          <t>📋 ติดตาม</t>
        </is>
      </c>
      <c r="K51" s="38" t="inlineStr">
        <is>
          <t>—</t>
        </is>
      </c>
      <c r="L51" s="38" t="inlineStr">
        <is>
          <t>กลาง</t>
        </is>
      </c>
      <c r="M51" s="38" t="inlineStr">
        <is>
          <t>—</t>
        </is>
      </c>
      <c r="N51" s="38" t="inlineStr">
        <is>
          <t>📧 ส่ง Email</t>
        </is>
      </c>
    </row>
    <row r="52" ht="14" customHeight="1">
      <c r="A52" s="38" t="n">
        <v>48</v>
      </c>
      <c r="B52" s="38" t="inlineStr">
        <is>
          <t>PL811</t>
        </is>
      </c>
      <c r="C52" s="39" t="inlineStr">
        <is>
          <t>ZETA-SI / บริษัท ซีซีทีวี (ประเทศไทย) จำกัด</t>
        </is>
      </c>
      <c r="D52" s="38" t="inlineStr">
        <is>
          <t>2026-04</t>
        </is>
      </c>
      <c r="E52" s="39" t="inlineStr">
        <is>
          <t>อื่นๆ</t>
        </is>
      </c>
      <c r="F52" s="39" t="inlineStr">
        <is>
          <t>LKT. 2026-04 -PL811</t>
        </is>
      </c>
      <c r="G52" s="77" t="n">
        <v>838750</v>
      </c>
      <c r="H52" s="77" t="n">
        <v>58712.5</v>
      </c>
      <c r="I52" s="77" t="n">
        <v>897462.5</v>
      </c>
      <c r="J52" s="38" t="inlineStr">
        <is>
          <t>📋 ติดตาม</t>
        </is>
      </c>
      <c r="K52" s="38" t="inlineStr">
        <is>
          <t>—</t>
        </is>
      </c>
      <c r="L52" s="38" t="inlineStr">
        <is>
          <t>กลาง</t>
        </is>
      </c>
      <c r="M52" s="38" t="inlineStr">
        <is>
          <t>ZETA-iOT</t>
        </is>
      </c>
      <c r="N52" s="38" t="inlineStr">
        <is>
          <t>📧 ส่ง Email</t>
        </is>
      </c>
    </row>
    <row r="53" ht="14" customHeight="1">
      <c r="A53" s="38" t="n">
        <v>49</v>
      </c>
      <c r="B53" s="38" t="inlineStr">
        <is>
          <t>PL817</t>
        </is>
      </c>
      <c r="C53" s="39" t="inlineStr">
        <is>
          <t>SI / บริษัท ซีซีทีวี (ประเทศไทย) จำกัด</t>
        </is>
      </c>
      <c r="D53" s="38" t="inlineStr">
        <is>
          <t>2026-04</t>
        </is>
      </c>
      <c r="E53" s="39" t="inlineStr">
        <is>
          <t>อื่นๆ</t>
        </is>
      </c>
      <c r="F53" s="39" t="inlineStr">
        <is>
          <t>LKT. 2026-04 -PL811</t>
        </is>
      </c>
      <c r="G53" s="77" t="n">
        <v>838750</v>
      </c>
      <c r="H53" s="77" t="n">
        <v>58712.5</v>
      </c>
      <c r="I53" s="77" t="n">
        <v>897462.5</v>
      </c>
      <c r="J53" s="38" t="inlineStr">
        <is>
          <t>📋 ติดตาม</t>
        </is>
      </c>
      <c r="K53" s="38" t="inlineStr">
        <is>
          <t>—</t>
        </is>
      </c>
      <c r="L53" s="38" t="inlineStr">
        <is>
          <t>กลาง</t>
        </is>
      </c>
      <c r="M53" s="38" t="inlineStr">
        <is>
          <t>ZETA-iOT</t>
        </is>
      </c>
      <c r="N53" s="38" t="inlineStr">
        <is>
          <t>📧 ส่ง Email</t>
        </is>
      </c>
    </row>
    <row r="54" ht="14" customHeight="1">
      <c r="A54" s="38" t="n">
        <v>50</v>
      </c>
      <c r="B54" s="38" t="inlineStr">
        <is>
          <t>PL681</t>
        </is>
      </c>
      <c r="C54" s="39" t="inlineStr">
        <is>
          <t>บ.  ทริปเปิ้ล 89 เอ็นจิเนียริ่ง</t>
        </is>
      </c>
      <c r="D54" s="38" t="inlineStr">
        <is>
          <t>2026-02</t>
        </is>
      </c>
      <c r="E54" s="39" t="inlineStr">
        <is>
          <t>เสากลมตรง 6'' OD165.2 H 6M + B</t>
        </is>
      </c>
      <c r="F54" s="39" t="inlineStr">
        <is>
          <t>LKT. 2026-01 -PL681</t>
        </is>
      </c>
      <c r="G54" s="77" t="n">
        <v>823200</v>
      </c>
      <c r="H54" s="77" t="n">
        <v>57624</v>
      </c>
      <c r="I54" s="77" t="n">
        <v>880824</v>
      </c>
      <c r="J54" s="38" t="inlineStr">
        <is>
          <t>📋 ติดตาม</t>
        </is>
      </c>
      <c r="K54" s="38" t="inlineStr">
        <is>
          <t>—</t>
        </is>
      </c>
      <c r="L54" s="38" t="inlineStr">
        <is>
          <t>กลาง</t>
        </is>
      </c>
      <c r="M54" s="38" t="inlineStr">
        <is>
          <t>—</t>
        </is>
      </c>
      <c r="N54" s="38" t="inlineStr">
        <is>
          <t>📧 ส่ง Email</t>
        </is>
      </c>
    </row>
    <row r="55" ht="14" customHeight="1">
      <c r="A55" s="38" t="n">
        <v>51</v>
      </c>
      <c r="B55" s="38" t="inlineStr">
        <is>
          <t>PL716</t>
        </is>
      </c>
      <c r="C55" s="39" t="inlineStr">
        <is>
          <t>บี เอ็ม เค</t>
        </is>
      </c>
      <c r="D55" s="38" t="inlineStr">
        <is>
          <t>2026-02</t>
        </is>
      </c>
      <c r="E55" s="39" t="inlineStr">
        <is>
          <t>High mast Pole 25 M วงแหวน 8 โ</t>
        </is>
      </c>
      <c r="F55" s="39" t="inlineStr">
        <is>
          <t>LKT. 2026-02 -PL716</t>
        </is>
      </c>
      <c r="G55" s="77" t="n">
        <v>810793.2</v>
      </c>
      <c r="H55" s="77" t="n">
        <v>56755.52</v>
      </c>
      <c r="I55" s="77" t="n">
        <v>867548.72</v>
      </c>
      <c r="J55" s="38" t="inlineStr">
        <is>
          <t>📋 ติดตาม</t>
        </is>
      </c>
      <c r="K55" s="38" t="inlineStr">
        <is>
          <t>—</t>
        </is>
      </c>
      <c r="L55" s="38" t="inlineStr">
        <is>
          <t>กลาง</t>
        </is>
      </c>
      <c r="M55" s="38" t="inlineStr">
        <is>
          <t>—</t>
        </is>
      </c>
      <c r="N55" s="38" t="inlineStr">
        <is>
          <t>📧 ส่ง Email</t>
        </is>
      </c>
    </row>
    <row r="56" ht="14" customHeight="1">
      <c r="A56" s="38" t="n">
        <v>52</v>
      </c>
      <c r="B56" s="38" t="inlineStr">
        <is>
          <t>PL862</t>
        </is>
      </c>
      <c r="C56" s="39" t="inlineStr">
        <is>
          <t>เอ็ม เอ็น</t>
        </is>
      </c>
      <c r="D56" s="38" t="inlineStr">
        <is>
          <t>2026-05</t>
        </is>
      </c>
      <c r="E56" s="39" t="inlineStr">
        <is>
          <t>Pole With Bracket 9M-T4-TR</t>
        </is>
      </c>
      <c r="F56" s="39" t="inlineStr">
        <is>
          <t>LKT. 2026-05 -PL862</t>
        </is>
      </c>
      <c r="G56" s="77" t="n">
        <v>805011.2</v>
      </c>
      <c r="H56" s="77" t="n">
        <v>56350.78</v>
      </c>
      <c r="I56" s="77" t="n">
        <v>861361.98</v>
      </c>
      <c r="J56" s="38" t="inlineStr">
        <is>
          <t>📋 ติดตาม</t>
        </is>
      </c>
      <c r="K56" s="38" t="inlineStr">
        <is>
          <t>—</t>
        </is>
      </c>
      <c r="L56" s="38" t="inlineStr">
        <is>
          <t>กลาง</t>
        </is>
      </c>
      <c r="M56" s="38" t="inlineStr">
        <is>
          <t>—</t>
        </is>
      </c>
      <c r="N56" s="38" t="inlineStr">
        <is>
          <t>📧 ส่ง Email</t>
        </is>
      </c>
    </row>
    <row r="57" ht="14" customHeight="1">
      <c r="A57" s="38" t="n">
        <v>53</v>
      </c>
      <c r="B57" s="38" t="inlineStr">
        <is>
          <t>PL869</t>
        </is>
      </c>
      <c r="C57" s="39" t="n"/>
      <c r="D57" s="38" t="inlineStr">
        <is>
          <t>2026-05</t>
        </is>
      </c>
      <c r="E57" s="39" t="inlineStr">
        <is>
          <t>Pole With Bracket 9M-T4-TR</t>
        </is>
      </c>
      <c r="F57" s="39" t="inlineStr">
        <is>
          <t>LKT. 2026-05 -PL862</t>
        </is>
      </c>
      <c r="G57" s="77" t="n">
        <v>805011.2</v>
      </c>
      <c r="H57" s="77" t="n">
        <v>56350.78</v>
      </c>
      <c r="I57" s="77" t="n">
        <v>861361.98</v>
      </c>
      <c r="J57" s="38" t="inlineStr">
        <is>
          <t>📋 ติดตาม</t>
        </is>
      </c>
      <c r="K57" s="38" t="inlineStr">
        <is>
          <t>—</t>
        </is>
      </c>
      <c r="L57" s="38" t="inlineStr">
        <is>
          <t>กลาง</t>
        </is>
      </c>
      <c r="M57" s="38" t="inlineStr">
        <is>
          <t>—</t>
        </is>
      </c>
      <c r="N57" s="38" t="inlineStr">
        <is>
          <t>📧 ส่ง Email</t>
        </is>
      </c>
    </row>
    <row r="58" ht="14" customHeight="1">
      <c r="A58" s="38" t="n">
        <v>54</v>
      </c>
      <c r="B58" s="38" t="inlineStr">
        <is>
          <t>PL898</t>
        </is>
      </c>
      <c r="C58" s="39" t="inlineStr">
        <is>
          <t>ฐิดาภา ขันทอง</t>
        </is>
      </c>
      <c r="D58" s="38" t="inlineStr">
        <is>
          <t>2026-05</t>
        </is>
      </c>
      <c r="E58" s="39" t="inlineStr">
        <is>
          <t>HIGH MAST POLE 18M วงแหวน 10โค</t>
        </is>
      </c>
      <c r="F58" s="39" t="inlineStr">
        <is>
          <t>LKT. 2026-05-PL898</t>
        </is>
      </c>
      <c r="G58" s="77" t="n">
        <v>793447.2</v>
      </c>
      <c r="H58" s="77" t="n">
        <v>55541.3</v>
      </c>
      <c r="I58" s="77" t="n">
        <v>848988.5</v>
      </c>
      <c r="J58" s="38" t="inlineStr">
        <is>
          <t>📋 ติดตาม</t>
        </is>
      </c>
      <c r="K58" s="38" t="inlineStr">
        <is>
          <t>—</t>
        </is>
      </c>
      <c r="L58" s="38" t="inlineStr">
        <is>
          <t>กลาง</t>
        </is>
      </c>
      <c r="M58" s="38" t="inlineStr">
        <is>
          <t>—</t>
        </is>
      </c>
      <c r="N58" s="38" t="inlineStr">
        <is>
          <t>📧 ส่ง Email</t>
        </is>
      </c>
    </row>
    <row r="59" ht="14" customHeight="1">
      <c r="A59" s="38" t="n">
        <v>55</v>
      </c>
      <c r="B59" s="38" t="inlineStr">
        <is>
          <t>PL622</t>
        </is>
      </c>
      <c r="C59" s="39" t="inlineStr">
        <is>
          <t>อนุพงษ์</t>
        </is>
      </c>
      <c r="D59" s="38" t="inlineStr">
        <is>
          <t>2026-01</t>
        </is>
      </c>
      <c r="E59" s="39" t="inlineStr">
        <is>
          <t>Pole With Bracket 9M-T4-TR</t>
        </is>
      </c>
      <c r="F59" s="39" t="inlineStr">
        <is>
          <t>LKT. 2026-01 -PL622</t>
        </is>
      </c>
      <c r="G59" s="77" t="n">
        <v>722064</v>
      </c>
      <c r="H59" s="77" t="n">
        <v>50544.48</v>
      </c>
      <c r="I59" s="77" t="n">
        <v>772608.48</v>
      </c>
      <c r="J59" s="38" t="inlineStr">
        <is>
          <t>📋 ติดตาม</t>
        </is>
      </c>
      <c r="K59" s="38" t="inlineStr">
        <is>
          <t>—</t>
        </is>
      </c>
      <c r="L59" s="38" t="inlineStr">
        <is>
          <t>กลาง</t>
        </is>
      </c>
      <c r="M59" s="38" t="inlineStr">
        <is>
          <t>—</t>
        </is>
      </c>
      <c r="N59" s="38" t="inlineStr">
        <is>
          <t>📧 ส่ง Email</t>
        </is>
      </c>
    </row>
    <row r="60" ht="14" customHeight="1">
      <c r="A60" s="38" t="n">
        <v>56</v>
      </c>
      <c r="B60" s="38" t="inlineStr">
        <is>
          <t>PL905</t>
        </is>
      </c>
      <c r="C60" s="39" t="inlineStr">
        <is>
          <t>เค บี เอ็ม 15ม.</t>
        </is>
      </c>
      <c r="D60" s="38" t="inlineStr">
        <is>
          <t>2026-05</t>
        </is>
      </c>
      <c r="E60" s="39" t="inlineStr">
        <is>
          <t xml:space="preserve">High Mast 15M วงแหวน 8 โคม 11 </t>
        </is>
      </c>
      <c r="F60" s="39" t="inlineStr">
        <is>
          <t>LKT. 2026-05 -PL905</t>
        </is>
      </c>
      <c r="G60" s="77" t="n">
        <v>711872</v>
      </c>
      <c r="H60" s="77" t="n">
        <v>49831.04</v>
      </c>
      <c r="I60" s="77" t="n">
        <v>761703.04</v>
      </c>
      <c r="J60" s="38" t="inlineStr">
        <is>
          <t>📋 ติดตาม</t>
        </is>
      </c>
      <c r="K60" s="38" t="inlineStr">
        <is>
          <t>—</t>
        </is>
      </c>
      <c r="L60" s="38" t="inlineStr">
        <is>
          <t>กลาง</t>
        </is>
      </c>
      <c r="M60" s="38" t="inlineStr">
        <is>
          <t>อปท. Supply</t>
        </is>
      </c>
      <c r="N60" s="38" t="inlineStr">
        <is>
          <t>📧 ส่ง Email</t>
        </is>
      </c>
    </row>
    <row r="61" ht="14" customHeight="1">
      <c r="A61" s="38" t="n">
        <v>57</v>
      </c>
      <c r="B61" s="38" t="inlineStr">
        <is>
          <t>PL34</t>
        </is>
      </c>
      <c r="C61" s="39" t="n"/>
      <c r="D61" s="38" t="inlineStr">
        <is>
          <t>2026-04</t>
        </is>
      </c>
      <c r="E61" s="39" t="inlineStr">
        <is>
          <t>กิ่ง (ทอกลมหนา 2.3mm.) ขนาด 2</t>
        </is>
      </c>
      <c r="F61" s="39" t="inlineStr">
        <is>
          <t>LKT. 2026-04 -PL819</t>
        </is>
      </c>
      <c r="G61" s="77" t="n">
        <v>711088</v>
      </c>
      <c r="H61" s="77" t="n">
        <v>49776.16</v>
      </c>
      <c r="I61" s="77" t="n">
        <v>760864.16</v>
      </c>
      <c r="J61" s="38" t="inlineStr">
        <is>
          <t>📋 ติดตาม</t>
        </is>
      </c>
      <c r="K61" s="38" t="inlineStr">
        <is>
          <t>—</t>
        </is>
      </c>
      <c r="L61" s="38" t="inlineStr">
        <is>
          <t>กลาง</t>
        </is>
      </c>
      <c r="M61" s="38" t="inlineStr">
        <is>
          <t>—</t>
        </is>
      </c>
      <c r="N61" s="38" t="inlineStr">
        <is>
          <t>📧 ส่ง Email</t>
        </is>
      </c>
    </row>
    <row r="62" ht="14" customHeight="1">
      <c r="A62" s="38" t="n">
        <v>58</v>
      </c>
      <c r="B62" s="38" t="inlineStr">
        <is>
          <t>PL819</t>
        </is>
      </c>
      <c r="C62" s="39" t="inlineStr">
        <is>
          <t>อริ</t>
        </is>
      </c>
      <c r="D62" s="38" t="inlineStr">
        <is>
          <t>2026-04</t>
        </is>
      </c>
      <c r="E62" s="39" t="inlineStr">
        <is>
          <t>กิ่ง (ทอกลมหนา 2.3mm.) ขนาด 2</t>
        </is>
      </c>
      <c r="F62" s="39" t="inlineStr">
        <is>
          <t>LKT. 2026-04 -PL819</t>
        </is>
      </c>
      <c r="G62" s="77" t="n">
        <v>711088</v>
      </c>
      <c r="H62" s="77" t="n">
        <v>49776.16</v>
      </c>
      <c r="I62" s="77" t="n">
        <v>760864.16</v>
      </c>
      <c r="J62" s="38" t="inlineStr">
        <is>
          <t>📋 ติดตาม</t>
        </is>
      </c>
      <c r="K62" s="38" t="inlineStr">
        <is>
          <t>—</t>
        </is>
      </c>
      <c r="L62" s="38" t="inlineStr">
        <is>
          <t>กลาง</t>
        </is>
      </c>
      <c r="M62" s="38" t="inlineStr">
        <is>
          <t>—</t>
        </is>
      </c>
      <c r="N62" s="38" t="inlineStr">
        <is>
          <t>📧 ส่ง Email</t>
        </is>
      </c>
    </row>
    <row r="63" ht="14" customHeight="1">
      <c r="A63" s="38" t="n">
        <v>59</v>
      </c>
      <c r="B63" s="38" t="inlineStr">
        <is>
          <t>PL930</t>
        </is>
      </c>
      <c r="C63" s="39" t="inlineStr">
        <is>
          <t>เอชาย เทคโนโลยี</t>
        </is>
      </c>
      <c r="D63" s="38" t="inlineStr">
        <is>
          <t>2026-06</t>
        </is>
      </c>
      <c r="E63" s="39" t="inlineStr">
        <is>
          <t xml:space="preserve">RT-7A81-15057 โคมไฟถนน Street </t>
        </is>
      </c>
      <c r="F63" s="39" t="inlineStr">
        <is>
          <t>LKT. 2026-06 -PL930</t>
        </is>
      </c>
      <c r="G63" s="77" t="n">
        <v>710010</v>
      </c>
      <c r="H63" s="77" t="n">
        <v>49700.7</v>
      </c>
      <c r="I63" s="77" t="n">
        <v>759710.7</v>
      </c>
      <c r="J63" s="38" t="inlineStr">
        <is>
          <t>📋 ติดตาม</t>
        </is>
      </c>
      <c r="K63" s="38" t="inlineStr">
        <is>
          <t>—</t>
        </is>
      </c>
      <c r="L63" s="38" t="inlineStr">
        <is>
          <t>กลาง</t>
        </is>
      </c>
      <c r="M63" s="38" t="inlineStr">
        <is>
          <t>—</t>
        </is>
      </c>
      <c r="N63" s="38" t="inlineStr">
        <is>
          <t>📧 ส่ง Email</t>
        </is>
      </c>
    </row>
    <row r="64" ht="14" customHeight="1">
      <c r="A64" s="38" t="n">
        <v>60</v>
      </c>
      <c r="B64" s="38" t="inlineStr">
        <is>
          <t>PL777</t>
        </is>
      </c>
      <c r="C64" s="39" t="inlineStr">
        <is>
          <t>วิ-หลี</t>
        </is>
      </c>
      <c r="D64" s="38" t="inlineStr">
        <is>
          <t>2026-03</t>
        </is>
      </c>
      <c r="E64" s="39" t="inlineStr">
        <is>
          <t>Pole With Bracket 9M-T4-TR</t>
        </is>
      </c>
      <c r="F64" s="39" t="inlineStr">
        <is>
          <t>LKT. 2026-03 -PL777</t>
        </is>
      </c>
      <c r="G64" s="77" t="n">
        <v>699426</v>
      </c>
      <c r="H64" s="77" t="n">
        <v>48959.82</v>
      </c>
      <c r="I64" s="77" t="n">
        <v>748385.8199999999</v>
      </c>
      <c r="J64" s="38" t="inlineStr">
        <is>
          <t>📋 ติดตาม</t>
        </is>
      </c>
      <c r="K64" s="38" t="inlineStr">
        <is>
          <t>—</t>
        </is>
      </c>
      <c r="L64" s="38" t="inlineStr">
        <is>
          <t>กลาง</t>
        </is>
      </c>
      <c r="M64" s="38" t="inlineStr">
        <is>
          <t>—</t>
        </is>
      </c>
      <c r="N64" s="38" t="inlineStr">
        <is>
          <t>📧 ส่ง Email</t>
        </is>
      </c>
    </row>
    <row r="65" ht="14" customHeight="1">
      <c r="A65" s="38" t="n">
        <v>61</v>
      </c>
      <c r="B65" s="38" t="inlineStr">
        <is>
          <t>PL682</t>
        </is>
      </c>
      <c r="C65" s="39" t="inlineStr">
        <is>
          <t>กรรณเลิศ เทรดดิ้ง</t>
        </is>
      </c>
      <c r="D65" s="38" t="inlineStr">
        <is>
          <t>2026-02</t>
        </is>
      </c>
      <c r="E65" s="39" t="inlineStr">
        <is>
          <t>฿55.00</t>
        </is>
      </c>
      <c r="F65" s="39" t="inlineStr">
        <is>
          <t>LKT. 2026-02 -PL682</t>
        </is>
      </c>
      <c r="G65" s="77" t="n">
        <v>685387.5</v>
      </c>
      <c r="H65" s="77" t="n">
        <v>47977.13</v>
      </c>
      <c r="I65" s="77" t="n">
        <v>733364.63</v>
      </c>
      <c r="J65" s="38" t="inlineStr">
        <is>
          <t>📋 ติดตาม</t>
        </is>
      </c>
      <c r="K65" s="38" t="inlineStr">
        <is>
          <t>—</t>
        </is>
      </c>
      <c r="L65" s="38" t="inlineStr">
        <is>
          <t>กลาง</t>
        </is>
      </c>
      <c r="M65" s="38" t="inlineStr">
        <is>
          <t>—</t>
        </is>
      </c>
      <c r="N65" s="38" t="inlineStr">
        <is>
          <t>📧 ส่ง Email</t>
        </is>
      </c>
    </row>
    <row r="66" ht="14" customHeight="1">
      <c r="A66" s="38" t="n">
        <v>62</v>
      </c>
      <c r="B66" s="38" t="inlineStr">
        <is>
          <t>PL880</t>
        </is>
      </c>
      <c r="C66" s="39" t="inlineStr">
        <is>
          <t>ณัชนันท์ พีเอ</t>
        </is>
      </c>
      <c r="D66" s="38" t="inlineStr">
        <is>
          <t>2026-05</t>
        </is>
      </c>
      <c r="E66" s="39" t="inlineStr">
        <is>
          <t>ชุดวายริ่งสายไฟ 6 ดวงโคม (สายไ</t>
        </is>
      </c>
      <c r="F66" s="39" t="inlineStr">
        <is>
          <t>LKT. 2026-05 -PL880</t>
        </is>
      </c>
      <c r="G66" s="77" t="n">
        <v>656600</v>
      </c>
      <c r="H66" s="77" t="n">
        <v>45962</v>
      </c>
      <c r="I66" s="77" t="n">
        <v>702562</v>
      </c>
      <c r="J66" s="38" t="inlineStr">
        <is>
          <t>📋 ติดตาม</t>
        </is>
      </c>
      <c r="K66" s="38" t="inlineStr">
        <is>
          <t>—</t>
        </is>
      </c>
      <c r="L66" s="38" t="inlineStr">
        <is>
          <t>กลาง</t>
        </is>
      </c>
      <c r="M66" s="38" t="inlineStr">
        <is>
          <t>—</t>
        </is>
      </c>
      <c r="N66" s="38" t="inlineStr">
        <is>
          <t>📧 ส่ง Email</t>
        </is>
      </c>
    </row>
    <row r="67" ht="14" customHeight="1">
      <c r="A67" s="38" t="n">
        <v>63</v>
      </c>
      <c r="B67" s="38" t="inlineStr">
        <is>
          <t>PL641</t>
        </is>
      </c>
      <c r="C67" s="39" t="inlineStr">
        <is>
          <t>บริษัท เอ็นเทค แมเนจเม้นท์ จำกัด (สำนักงานใหญ่)</t>
        </is>
      </c>
      <c r="D67" s="38" t="inlineStr">
        <is>
          <t>2026-01</t>
        </is>
      </c>
      <c r="E67" s="39" t="inlineStr">
        <is>
          <t>อื่นๆ</t>
        </is>
      </c>
      <c r="F67" s="39" t="inlineStr">
        <is>
          <t>LKT. 2026-01-PL641</t>
        </is>
      </c>
      <c r="G67" s="77" t="n">
        <v>649600</v>
      </c>
      <c r="H67" s="77" t="n">
        <v>45472</v>
      </c>
      <c r="I67" s="77" t="n">
        <v>695072</v>
      </c>
      <c r="J67" s="38" t="inlineStr">
        <is>
          <t>📋 ติดตาม</t>
        </is>
      </c>
      <c r="K67" s="38" t="inlineStr">
        <is>
          <t>—</t>
        </is>
      </c>
      <c r="L67" s="38" t="inlineStr">
        <is>
          <t>กลาง</t>
        </is>
      </c>
      <c r="M67" s="38" t="inlineStr">
        <is>
          <t>—</t>
        </is>
      </c>
      <c r="N67" s="38" t="inlineStr">
        <is>
          <t>📧 ส่ง Email</t>
        </is>
      </c>
    </row>
    <row r="68" ht="14" customHeight="1">
      <c r="A68" s="38" t="n">
        <v>64</v>
      </c>
      <c r="B68" s="38" t="inlineStr">
        <is>
          <t>PL780</t>
        </is>
      </c>
      <c r="C68" s="39" t="inlineStr">
        <is>
          <t>ไชยวัฒน์</t>
        </is>
      </c>
      <c r="D68" s="38" t="inlineStr">
        <is>
          <t>2026-03</t>
        </is>
      </c>
      <c r="E68" s="39" t="inlineStr">
        <is>
          <t>Post Top Pole 5M-T4-TR</t>
        </is>
      </c>
      <c r="F68" s="39" t="inlineStr">
        <is>
          <t>LKT. 2026-03 -PL780</t>
        </is>
      </c>
      <c r="G68" s="77" t="n">
        <v>641410</v>
      </c>
      <c r="H68" s="77" t="n">
        <v>44898.7</v>
      </c>
      <c r="I68" s="77" t="n">
        <v>686308.7</v>
      </c>
      <c r="J68" s="38" t="inlineStr">
        <is>
          <t>📋 ติดตาม</t>
        </is>
      </c>
      <c r="K68" s="38" t="inlineStr">
        <is>
          <t>—</t>
        </is>
      </c>
      <c r="L68" s="38" t="inlineStr">
        <is>
          <t>กลาง</t>
        </is>
      </c>
      <c r="M68" s="38" t="inlineStr">
        <is>
          <t>—</t>
        </is>
      </c>
      <c r="N68" s="38" t="inlineStr">
        <is>
          <t>📧 ส่ง Email</t>
        </is>
      </c>
    </row>
    <row r="69" ht="14" customHeight="1">
      <c r="A69" s="38" t="n">
        <v>65</v>
      </c>
      <c r="B69" s="38" t="inlineStr">
        <is>
          <t>PL806</t>
        </is>
      </c>
      <c r="C69" s="39" t="inlineStr">
        <is>
          <t>วิหลี</t>
        </is>
      </c>
      <c r="D69" s="38" t="inlineStr">
        <is>
          <t>2026-04</t>
        </is>
      </c>
      <c r="E69" s="39" t="inlineStr">
        <is>
          <t>Pole With Bracket 6M-T4-TR</t>
        </is>
      </c>
      <c r="F69" s="39" t="inlineStr">
        <is>
          <t>LKT. 2026-04 -PL806</t>
        </is>
      </c>
      <c r="G69" s="77" t="n">
        <v>631747.2</v>
      </c>
      <c r="H69" s="77" t="n">
        <v>44222.3</v>
      </c>
      <c r="I69" s="77" t="n">
        <v>675969.5</v>
      </c>
      <c r="J69" s="38" t="inlineStr">
        <is>
          <t>📋 ติดตาม</t>
        </is>
      </c>
      <c r="K69" s="38" t="inlineStr">
        <is>
          <t>—</t>
        </is>
      </c>
      <c r="L69" s="38" t="inlineStr">
        <is>
          <t>กลาง</t>
        </is>
      </c>
      <c r="M69" s="38" t="inlineStr">
        <is>
          <t>—</t>
        </is>
      </c>
      <c r="N69" s="38" t="inlineStr">
        <is>
          <t>📧 ส่ง Email</t>
        </is>
      </c>
    </row>
    <row r="70" ht="14" customHeight="1">
      <c r="A70" s="38" t="n">
        <v>66</v>
      </c>
      <c r="B70" s="38" t="inlineStr">
        <is>
          <t>PL683</t>
        </is>
      </c>
      <c r="C70" s="39" t="inlineStr">
        <is>
          <t>ศิรประภาก่อสร้าง</t>
        </is>
      </c>
      <c r="D70" s="38" t="inlineStr">
        <is>
          <t>2026-02</t>
        </is>
      </c>
      <c r="E70" s="39" t="inlineStr">
        <is>
          <t>Pole With Bracket 9M-T4-TR</t>
        </is>
      </c>
      <c r="F70" s="39" t="inlineStr">
        <is>
          <t>LKT. 2026-01 -PL683</t>
        </is>
      </c>
      <c r="G70" s="77" t="n">
        <v>626857</v>
      </c>
      <c r="H70" s="77" t="n">
        <v>43879.99</v>
      </c>
      <c r="I70" s="77" t="n">
        <v>670736.99</v>
      </c>
      <c r="J70" s="38" t="inlineStr">
        <is>
          <t>📋 ติดตาม</t>
        </is>
      </c>
      <c r="K70" s="38" t="inlineStr">
        <is>
          <t>—</t>
        </is>
      </c>
      <c r="L70" s="38" t="inlineStr">
        <is>
          <t>กลาง</t>
        </is>
      </c>
      <c r="M70" s="38" t="inlineStr">
        <is>
          <t>—</t>
        </is>
      </c>
      <c r="N70" s="38" t="inlineStr">
        <is>
          <t>📧 ส่ง Email</t>
        </is>
      </c>
    </row>
    <row r="71" ht="14" customHeight="1">
      <c r="A71" s="38" t="n">
        <v>67</v>
      </c>
      <c r="B71" s="38" t="inlineStr">
        <is>
          <t>PL943</t>
        </is>
      </c>
      <c r="C71" s="39" t="inlineStr">
        <is>
          <t>บมจ.เมืองไทยประกันชีวิต</t>
        </is>
      </c>
      <c r="D71" s="38" t="inlineStr">
        <is>
          <t>2026-06</t>
        </is>
      </c>
      <c r="E71" s="39" t="inlineStr">
        <is>
          <t>High Mast 15M+Motor (4 ต้น)+ค่</t>
        </is>
      </c>
      <c r="F71" s="39" t="inlineStr">
        <is>
          <t>LKT. 2026-06 -PL943</t>
        </is>
      </c>
      <c r="G71" s="77" t="n">
        <v>610599</v>
      </c>
      <c r="H71" s="77" t="n">
        <v>42741.93</v>
      </c>
      <c r="I71" s="77" t="n">
        <v>653340.9300000001</v>
      </c>
      <c r="J71" s="38" t="inlineStr">
        <is>
          <t>📋 ติดตาม</t>
        </is>
      </c>
      <c r="K71" s="38" t="inlineStr">
        <is>
          <t>—</t>
        </is>
      </c>
      <c r="L71" s="38" t="inlineStr">
        <is>
          <t>กลาง</t>
        </is>
      </c>
      <c r="M71" s="38" t="inlineStr">
        <is>
          <t>—</t>
        </is>
      </c>
      <c r="N71" s="38" t="inlineStr">
        <is>
          <t>📧 ส่ง Email</t>
        </is>
      </c>
    </row>
    <row r="72" ht="14" customHeight="1">
      <c r="A72" s="38" t="n">
        <v>68</v>
      </c>
      <c r="B72" s="38" t="inlineStr">
        <is>
          <t>PL697</t>
        </is>
      </c>
      <c r="C72" s="39" t="inlineStr">
        <is>
          <t>อาริยะ กรุ๊ป</t>
        </is>
      </c>
      <c r="D72" s="38" t="inlineStr">
        <is>
          <t>2026-02</t>
        </is>
      </c>
      <c r="E72" s="39" t="inlineStr">
        <is>
          <t>High mast Pole 20 M วงแหวน 6 โ</t>
        </is>
      </c>
      <c r="F72" s="39" t="inlineStr">
        <is>
          <t>LKT. 2026-02 -PL697</t>
        </is>
      </c>
      <c r="G72" s="77" t="n">
        <v>601994.4</v>
      </c>
      <c r="H72" s="77" t="n">
        <v>42139.61</v>
      </c>
      <c r="I72" s="77" t="n">
        <v>644134.01</v>
      </c>
      <c r="J72" s="38" t="inlineStr">
        <is>
          <t>📋 ติดตาม</t>
        </is>
      </c>
      <c r="K72" s="38" t="inlineStr">
        <is>
          <t>—</t>
        </is>
      </c>
      <c r="L72" s="38" t="inlineStr">
        <is>
          <t>กลาง</t>
        </is>
      </c>
      <c r="M72" s="38" t="inlineStr">
        <is>
          <t>—</t>
        </is>
      </c>
      <c r="N72" s="38" t="inlineStr">
        <is>
          <t>📧 ส่ง Email</t>
        </is>
      </c>
    </row>
    <row r="73" ht="14" customHeight="1">
      <c r="A73" s="38" t="n">
        <v>69</v>
      </c>
      <c r="B73" s="38" t="inlineStr">
        <is>
          <t>PL824</t>
        </is>
      </c>
      <c r="C73" s="39" t="inlineStr">
        <is>
          <t>บ.เจมินี เทค กรมท่ากระบี่</t>
        </is>
      </c>
      <c r="D73" s="38" t="inlineStr">
        <is>
          <t>2026-04</t>
        </is>
      </c>
      <c r="E73" s="39" t="inlineStr">
        <is>
          <t>Pole With Bracket 9M-T4-TR</t>
        </is>
      </c>
      <c r="F73" s="39" t="inlineStr">
        <is>
          <t>LKT. 2026-04 -PL824</t>
        </is>
      </c>
      <c r="G73" s="77" t="n">
        <v>589950</v>
      </c>
      <c r="H73" s="77" t="n">
        <v>41296.5</v>
      </c>
      <c r="I73" s="77" t="n">
        <v>631246.5</v>
      </c>
      <c r="J73" s="38" t="inlineStr">
        <is>
          <t>📋 ติดตาม</t>
        </is>
      </c>
      <c r="K73" s="38" t="inlineStr">
        <is>
          <t>—</t>
        </is>
      </c>
      <c r="L73" s="38" t="inlineStr">
        <is>
          <t>กลาง</t>
        </is>
      </c>
      <c r="M73" s="38" t="inlineStr">
        <is>
          <t>DOA</t>
        </is>
      </c>
      <c r="N73" s="38" t="inlineStr">
        <is>
          <t>📧 ส่ง Email</t>
        </is>
      </c>
    </row>
    <row r="74" ht="14" customHeight="1">
      <c r="A74" s="38" t="n">
        <v>70</v>
      </c>
      <c r="B74" s="38" t="inlineStr">
        <is>
          <t>PL893</t>
        </is>
      </c>
      <c r="C74" s="39" t="inlineStr">
        <is>
          <t>จีเนียส กิสโม -Post Top 4  ดวง</t>
        </is>
      </c>
      <c r="D74" s="38" t="inlineStr">
        <is>
          <t>2026-05</t>
        </is>
      </c>
      <c r="E74" s="39" t="inlineStr">
        <is>
          <t xml:space="preserve">เสา post top 9M + วงแหวน 4โคม </t>
        </is>
      </c>
      <c r="F74" s="39" t="inlineStr">
        <is>
          <t>LKT. 2026-05 -PL893</t>
        </is>
      </c>
      <c r="G74" s="77" t="n">
        <v>589225</v>
      </c>
      <c r="H74" s="77" t="n">
        <v>41245.75</v>
      </c>
      <c r="I74" s="77" t="n">
        <v>630470.75</v>
      </c>
      <c r="J74" s="38" t="inlineStr">
        <is>
          <t>📋 ติดตาม</t>
        </is>
      </c>
      <c r="K74" s="38" t="inlineStr">
        <is>
          <t>—</t>
        </is>
      </c>
      <c r="L74" s="38" t="inlineStr">
        <is>
          <t>กลาง</t>
        </is>
      </c>
      <c r="M74" s="38" t="inlineStr">
        <is>
          <t>—</t>
        </is>
      </c>
      <c r="N74" s="38" t="inlineStr">
        <is>
          <t>📧 ส่ง Email</t>
        </is>
      </c>
    </row>
    <row r="75" ht="14" customHeight="1">
      <c r="A75" s="38" t="n">
        <v>71</v>
      </c>
      <c r="B75" s="38" t="inlineStr">
        <is>
          <t>PL814</t>
        </is>
      </c>
      <c r="C75" s="39" t="inlineStr">
        <is>
          <t>บางน้อย</t>
        </is>
      </c>
      <c r="D75" s="38" t="inlineStr">
        <is>
          <t>2026-04</t>
        </is>
      </c>
      <c r="E75" s="39" t="inlineStr">
        <is>
          <t>Pole With Bracket 9M-T4-TR</t>
        </is>
      </c>
      <c r="F75" s="39" t="inlineStr">
        <is>
          <t>LKT. 2026-04 -PL814</t>
        </is>
      </c>
      <c r="G75" s="77" t="n">
        <v>585432.4</v>
      </c>
      <c r="H75" s="77" t="n">
        <v>40980.27</v>
      </c>
      <c r="I75" s="77" t="n">
        <v>626412.67</v>
      </c>
      <c r="J75" s="38" t="inlineStr">
        <is>
          <t>📋 ติดตาม</t>
        </is>
      </c>
      <c r="K75" s="38" t="inlineStr">
        <is>
          <t>—</t>
        </is>
      </c>
      <c r="L75" s="38" t="inlineStr">
        <is>
          <t>กลาง</t>
        </is>
      </c>
      <c r="M75" s="38" t="inlineStr">
        <is>
          <t>—</t>
        </is>
      </c>
      <c r="N75" s="38" t="inlineStr">
        <is>
          <t>📧 ส่ง Email</t>
        </is>
      </c>
    </row>
    <row r="76" ht="14" customHeight="1">
      <c r="A76" s="38" t="n">
        <v>72</v>
      </c>
      <c r="B76" s="38" t="inlineStr">
        <is>
          <t>PL768</t>
        </is>
      </c>
      <c r="C76" s="39" t="inlineStr">
        <is>
          <t>คุณปรีชา จันทร์ดี</t>
        </is>
      </c>
      <c r="D76" s="38" t="inlineStr">
        <is>
          <t>2026-03</t>
        </is>
      </c>
      <c r="E76" s="39" t="inlineStr">
        <is>
          <t>Pole With Bracket 6M-T4-TR</t>
        </is>
      </c>
      <c r="F76" s="39" t="inlineStr">
        <is>
          <t>LKT. 2026-03 -PL768</t>
        </is>
      </c>
      <c r="G76" s="77" t="n">
        <v>582000</v>
      </c>
      <c r="H76" s="77" t="n">
        <v>40740</v>
      </c>
      <c r="I76" s="77" t="n">
        <v>622740</v>
      </c>
      <c r="J76" s="38" t="inlineStr">
        <is>
          <t>📋 ติดตาม</t>
        </is>
      </c>
      <c r="K76" s="38" t="inlineStr">
        <is>
          <t>—</t>
        </is>
      </c>
      <c r="L76" s="38" t="inlineStr">
        <is>
          <t>กลาง</t>
        </is>
      </c>
      <c r="M76" s="38" t="inlineStr">
        <is>
          <t>—</t>
        </is>
      </c>
      <c r="N76" s="38" t="inlineStr">
        <is>
          <t>📧 ส่ง Email</t>
        </is>
      </c>
    </row>
    <row r="77" ht="14" customHeight="1">
      <c r="A77" s="38" t="n">
        <v>73</v>
      </c>
      <c r="B77" s="38" t="inlineStr">
        <is>
          <t>PL860</t>
        </is>
      </c>
      <c r="C77" s="39" t="inlineStr">
        <is>
          <t>กรุงเทพเอ็นยิเนียริ่ง</t>
        </is>
      </c>
      <c r="D77" s="38" t="inlineStr">
        <is>
          <t>2026-05</t>
        </is>
      </c>
      <c r="E77" s="39" t="inlineStr">
        <is>
          <t>High mast Pole 25 M วงแหวน 8 โ</t>
        </is>
      </c>
      <c r="F77" s="39" t="inlineStr">
        <is>
          <t>LKT. 2026-05 -PL860</t>
        </is>
      </c>
      <c r="G77" s="77" t="n">
        <v>580356</v>
      </c>
      <c r="H77" s="77" t="n">
        <v>40624.92</v>
      </c>
      <c r="I77" s="77" t="n">
        <v>620980.92</v>
      </c>
      <c r="J77" s="38" t="inlineStr">
        <is>
          <t>📋 ติดตาม</t>
        </is>
      </c>
      <c r="K77" s="38" t="inlineStr">
        <is>
          <t>—</t>
        </is>
      </c>
      <c r="L77" s="38" t="inlineStr">
        <is>
          <t>กลาง</t>
        </is>
      </c>
      <c r="M77" s="38" t="inlineStr">
        <is>
          <t>—</t>
        </is>
      </c>
      <c r="N77" s="38" t="inlineStr">
        <is>
          <t>📧 ส่ง Email</t>
        </is>
      </c>
    </row>
    <row r="78" ht="14" customHeight="1">
      <c r="A78" s="38" t="n">
        <v>74</v>
      </c>
      <c r="B78" s="38" t="inlineStr">
        <is>
          <t>PL917</t>
        </is>
      </c>
      <c r="C78" s="39" t="inlineStr">
        <is>
          <t>พี สเตป เอ็นจิเนียริ่ง</t>
        </is>
      </c>
      <c r="D78" s="38" t="inlineStr">
        <is>
          <t>2026-06</t>
        </is>
      </c>
      <c r="E78" s="39" t="inlineStr">
        <is>
          <t>High mast Pole 20 M วงแหวน 8 โ</t>
        </is>
      </c>
      <c r="F78" s="39" t="inlineStr">
        <is>
          <t>LKT. 2026-06 -PL917</t>
        </is>
      </c>
      <c r="G78" s="77" t="n">
        <v>572124</v>
      </c>
      <c r="H78" s="77" t="n">
        <v>40048.68</v>
      </c>
      <c r="I78" s="77" t="n">
        <v>612172.6800000001</v>
      </c>
      <c r="J78" s="38" t="inlineStr">
        <is>
          <t>📋 ติดตาม</t>
        </is>
      </c>
      <c r="K78" s="38" t="inlineStr">
        <is>
          <t>—</t>
        </is>
      </c>
      <c r="L78" s="38" t="inlineStr">
        <is>
          <t>กลาง</t>
        </is>
      </c>
      <c r="M78" s="38" t="inlineStr">
        <is>
          <t>—</t>
        </is>
      </c>
      <c r="N78" s="38" t="inlineStr">
        <is>
          <t>📧 ส่ง Email</t>
        </is>
      </c>
    </row>
    <row r="79" ht="14" customHeight="1">
      <c r="A79" s="38" t="n">
        <v>75</v>
      </c>
      <c r="B79" s="38" t="inlineStr">
        <is>
          <t>PL638</t>
        </is>
      </c>
      <c r="C79" s="39" t="inlineStr">
        <is>
          <t>บริษัท เอส.พี.เอส.ทราฟฟิค ไลน์ จำกัด</t>
        </is>
      </c>
      <c r="D79" s="38" t="inlineStr">
        <is>
          <t>2026-01</t>
        </is>
      </c>
      <c r="E79" s="39" t="inlineStr">
        <is>
          <t>อื่นๆ</t>
        </is>
      </c>
      <c r="F79" s="39" t="inlineStr">
        <is>
          <t>LKT. 2026-01-PL638</t>
        </is>
      </c>
      <c r="G79" s="77" t="n">
        <v>571830</v>
      </c>
      <c r="H79" s="77" t="n">
        <v>40028.1</v>
      </c>
      <c r="I79" s="77" t="n">
        <v>611858.1</v>
      </c>
      <c r="J79" s="38" t="inlineStr">
        <is>
          <t>📋 ติดตาม</t>
        </is>
      </c>
      <c r="K79" s="38" t="inlineStr">
        <is>
          <t>—</t>
        </is>
      </c>
      <c r="L79" s="38" t="inlineStr">
        <is>
          <t>กลาง</t>
        </is>
      </c>
      <c r="M79" s="38" t="inlineStr">
        <is>
          <t>—</t>
        </is>
      </c>
      <c r="N79" s="38" t="inlineStr">
        <is>
          <t>📧 ส่ง Email</t>
        </is>
      </c>
    </row>
    <row r="80" ht="14" customHeight="1">
      <c r="A80" s="38" t="n">
        <v>76</v>
      </c>
      <c r="B80" s="38" t="inlineStr">
        <is>
          <t>PL770</t>
        </is>
      </c>
      <c r="C80" s="39" t="inlineStr">
        <is>
          <t>R00  บริษัท เค.บี.เอ็ม . เทคโนโลยีส์ จำกัด -8M</t>
        </is>
      </c>
      <c r="D80" s="38" t="inlineStr">
        <is>
          <t>2026-03</t>
        </is>
      </c>
      <c r="E80" s="39" t="inlineStr">
        <is>
          <t>Post Top Pole 8M-T4-TR</t>
        </is>
      </c>
      <c r="F80" s="39" t="inlineStr">
        <is>
          <t>LKT. 2026-03 -PL770</t>
        </is>
      </c>
      <c r="G80" s="77" t="n">
        <v>546758.25</v>
      </c>
      <c r="H80" s="77" t="n">
        <v>38273.08</v>
      </c>
      <c r="I80" s="77" t="n">
        <v>585031.33</v>
      </c>
      <c r="J80" s="38" t="inlineStr">
        <is>
          <t>📋 ติดตาม</t>
        </is>
      </c>
      <c r="K80" s="38" t="inlineStr">
        <is>
          <t>—</t>
        </is>
      </c>
      <c r="L80" s="38" t="inlineStr">
        <is>
          <t>กลาง</t>
        </is>
      </c>
      <c r="M80" s="38" t="inlineStr">
        <is>
          <t>—</t>
        </is>
      </c>
      <c r="N80" s="38" t="inlineStr">
        <is>
          <t>📧 ส่ง Email</t>
        </is>
      </c>
    </row>
    <row r="81" ht="14" customHeight="1">
      <c r="A81" s="38" t="n">
        <v>77</v>
      </c>
      <c r="B81" s="38" t="inlineStr">
        <is>
          <t>PL648</t>
        </is>
      </c>
      <c r="C81" s="39" t="inlineStr">
        <is>
          <t>ตั้งใจสร้าง</t>
        </is>
      </c>
      <c r="D81" s="38" t="inlineStr">
        <is>
          <t>2026-01</t>
        </is>
      </c>
      <c r="E81" s="39" t="inlineStr">
        <is>
          <t>High Mast 15 M PCD550+วงแหวน 8</t>
        </is>
      </c>
      <c r="F81" s="39" t="inlineStr">
        <is>
          <t>LKT. 2026-01 -PL648</t>
        </is>
      </c>
      <c r="G81" s="77" t="n">
        <v>546585.2</v>
      </c>
      <c r="H81" s="77" t="n">
        <v>38260.96</v>
      </c>
      <c r="I81" s="77" t="n">
        <v>584846.16</v>
      </c>
      <c r="J81" s="38" t="inlineStr">
        <is>
          <t>📋 ติดตาม</t>
        </is>
      </c>
      <c r="K81" s="38" t="inlineStr">
        <is>
          <t>—</t>
        </is>
      </c>
      <c r="L81" s="38" t="inlineStr">
        <is>
          <t>กลาง</t>
        </is>
      </c>
      <c r="M81" s="38" t="inlineStr">
        <is>
          <t>—</t>
        </is>
      </c>
      <c r="N81" s="38" t="inlineStr">
        <is>
          <t>📧 ส่ง Email</t>
        </is>
      </c>
    </row>
    <row r="82" ht="14" customHeight="1">
      <c r="A82" s="38" t="n">
        <v>78</v>
      </c>
      <c r="B82" s="38" t="inlineStr">
        <is>
          <t>PL748</t>
        </is>
      </c>
      <c r="C82" s="39" t="inlineStr">
        <is>
          <t>นราภรณ์</t>
        </is>
      </c>
      <c r="D82" s="38" t="inlineStr">
        <is>
          <t>2026-03</t>
        </is>
      </c>
      <c r="E82" s="39" t="inlineStr">
        <is>
          <t>อื่นๆ</t>
        </is>
      </c>
      <c r="F82" s="39" t="inlineStr">
        <is>
          <t>LKT. 2026-03-748</t>
        </is>
      </c>
      <c r="G82" s="77" t="n">
        <v>546291.2</v>
      </c>
      <c r="H82" s="77" t="n">
        <v>38240.38</v>
      </c>
      <c r="I82" s="77" t="n">
        <v>584531.58</v>
      </c>
      <c r="J82" s="38" t="inlineStr">
        <is>
          <t>📋 ติดตาม</t>
        </is>
      </c>
      <c r="K82" s="38" t="inlineStr">
        <is>
          <t>—</t>
        </is>
      </c>
      <c r="L82" s="38" t="inlineStr">
        <is>
          <t>กลาง</t>
        </is>
      </c>
      <c r="M82" s="38" t="inlineStr">
        <is>
          <t>—</t>
        </is>
      </c>
      <c r="N82" s="38" t="inlineStr">
        <is>
          <t>📧 ส่ง Email</t>
        </is>
      </c>
    </row>
    <row r="83" ht="14" customHeight="1">
      <c r="A83" s="38" t="n">
        <v>79</v>
      </c>
      <c r="B83" s="38" t="inlineStr">
        <is>
          <t>PL633</t>
        </is>
      </c>
      <c r="C83" s="39" t="inlineStr">
        <is>
          <t>พรบันดาลโชค</t>
        </is>
      </c>
      <c r="D83" s="38" t="inlineStr">
        <is>
          <t>2026-01</t>
        </is>
      </c>
      <c r="E83" s="39" t="inlineStr">
        <is>
          <t>High mast Pole 20 M วงแหวน 8 โ</t>
        </is>
      </c>
      <c r="F83" s="39" t="inlineStr">
        <is>
          <t>LKT. 2026-01 -PL633</t>
        </is>
      </c>
      <c r="G83" s="77" t="n">
        <v>545899.2</v>
      </c>
      <c r="H83" s="77" t="n">
        <v>38212.94</v>
      </c>
      <c r="I83" s="77" t="n">
        <v>584112.14</v>
      </c>
      <c r="J83" s="38" t="inlineStr">
        <is>
          <t>📋 ติดตาม</t>
        </is>
      </c>
      <c r="K83" s="38" t="inlineStr">
        <is>
          <t>—</t>
        </is>
      </c>
      <c r="L83" s="38" t="inlineStr">
        <is>
          <t>กลาง</t>
        </is>
      </c>
      <c r="M83" s="38" t="inlineStr">
        <is>
          <t>—</t>
        </is>
      </c>
      <c r="N83" s="38" t="inlineStr">
        <is>
          <t>📧 ส่ง Email</t>
        </is>
      </c>
    </row>
    <row r="84" ht="14" customHeight="1">
      <c r="A84" s="38" t="n">
        <v>80</v>
      </c>
      <c r="B84" s="38" t="inlineStr">
        <is>
          <t>PL694</t>
        </is>
      </c>
      <c r="C84" s="39" t="inlineStr">
        <is>
          <t>บริษัท อ่าวดุ้ (ประเทศไทย) จำกัด</t>
        </is>
      </c>
      <c r="D84" s="38" t="inlineStr">
        <is>
          <t>2026-02</t>
        </is>
      </c>
      <c r="E84" s="39" t="inlineStr">
        <is>
          <t>อื่นๆ</t>
        </is>
      </c>
      <c r="F84" s="39" t="inlineStr">
        <is>
          <t>LKT. 2026-02 -PL694</t>
        </is>
      </c>
      <c r="G84" s="77" t="n">
        <v>545000</v>
      </c>
      <c r="H84" s="77" t="n">
        <v>38150</v>
      </c>
      <c r="I84" s="77" t="n">
        <v>583150</v>
      </c>
      <c r="J84" s="38" t="inlineStr">
        <is>
          <t>📋 ติดตาม</t>
        </is>
      </c>
      <c r="K84" s="38" t="inlineStr">
        <is>
          <t>—</t>
        </is>
      </c>
      <c r="L84" s="38" t="inlineStr">
        <is>
          <t>กลาง</t>
        </is>
      </c>
      <c r="M84" s="38" t="inlineStr">
        <is>
          <t>—</t>
        </is>
      </c>
      <c r="N84" s="38" t="inlineStr">
        <is>
          <t>📧 ส่ง Email</t>
        </is>
      </c>
    </row>
    <row r="85" ht="14" customHeight="1">
      <c r="A85" s="38" t="n">
        <v>81</v>
      </c>
      <c r="B85" s="38" t="inlineStr">
        <is>
          <t>PL656</t>
        </is>
      </c>
      <c r="C85" s="39" t="inlineStr">
        <is>
          <t>จตุรมาศ</t>
        </is>
      </c>
      <c r="D85" s="38" t="inlineStr">
        <is>
          <t>2026-01</t>
        </is>
      </c>
      <c r="E85" s="39" t="inlineStr">
        <is>
          <t>Pole With Bracket 6M-T4-TR</t>
        </is>
      </c>
      <c r="F85" s="39" t="inlineStr">
        <is>
          <t>LKT. 2026-01 -PL656</t>
        </is>
      </c>
      <c r="G85" s="77" t="n">
        <v>544105.8</v>
      </c>
      <c r="H85" s="77" t="n">
        <v>38087.41</v>
      </c>
      <c r="I85" s="77" t="n">
        <v>582193.21</v>
      </c>
      <c r="J85" s="38" t="inlineStr">
        <is>
          <t>📋 ติดตาม</t>
        </is>
      </c>
      <c r="K85" s="38" t="inlineStr">
        <is>
          <t>—</t>
        </is>
      </c>
      <c r="L85" s="38" t="inlineStr">
        <is>
          <t>กลาง</t>
        </is>
      </c>
      <c r="M85" s="38" t="inlineStr">
        <is>
          <t>—</t>
        </is>
      </c>
      <c r="N85" s="38" t="inlineStr">
        <is>
          <t>📧 ส่ง Email</t>
        </is>
      </c>
    </row>
    <row r="86" ht="14" customHeight="1">
      <c r="A86" s="38" t="n">
        <v>82</v>
      </c>
      <c r="B86" s="38" t="inlineStr">
        <is>
          <t>PL684</t>
        </is>
      </c>
      <c r="C86" s="39" t="inlineStr">
        <is>
          <t>บางน้อย</t>
        </is>
      </c>
      <c r="D86" s="38" t="inlineStr">
        <is>
          <t>2026-02</t>
        </is>
      </c>
      <c r="E86" s="39" t="inlineStr">
        <is>
          <t>Pole With Bracket 9M-T4-TR</t>
        </is>
      </c>
      <c r="F86" s="39" t="inlineStr">
        <is>
          <t>LKT. 2026-02 -PL684</t>
        </is>
      </c>
      <c r="G86" s="77" t="n">
        <v>539117.6</v>
      </c>
      <c r="H86" s="77" t="n">
        <v>37738.23</v>
      </c>
      <c r="I86" s="77" t="n">
        <v>576855.83</v>
      </c>
      <c r="J86" s="38" t="inlineStr">
        <is>
          <t>📋 ติดตาม</t>
        </is>
      </c>
      <c r="K86" s="38" t="inlineStr">
        <is>
          <t>—</t>
        </is>
      </c>
      <c r="L86" s="38" t="inlineStr">
        <is>
          <t>กลาง</t>
        </is>
      </c>
      <c r="M86" s="38" t="inlineStr">
        <is>
          <t>—</t>
        </is>
      </c>
      <c r="N86" s="38" t="inlineStr">
        <is>
          <t>📧 ส่ง Email</t>
        </is>
      </c>
    </row>
    <row r="87" ht="14" customHeight="1">
      <c r="A87" s="38" t="n">
        <v>83</v>
      </c>
      <c r="B87" s="38" t="inlineStr">
        <is>
          <t>PL738</t>
        </is>
      </c>
      <c r="C87" s="39" t="inlineStr">
        <is>
          <t>แอเรีย เทคโนโลยี</t>
        </is>
      </c>
      <c r="D87" s="38" t="inlineStr">
        <is>
          <t>2026-03</t>
        </is>
      </c>
      <c r="E87" s="39" t="inlineStr">
        <is>
          <t>เสากลมตรง 3'' H2.0M.(วัดนํ้าเส</t>
        </is>
      </c>
      <c r="F87" s="39" t="inlineStr">
        <is>
          <t>LKT. 2026-03 -PL738</t>
        </is>
      </c>
      <c r="G87" s="77" t="n">
        <v>538005</v>
      </c>
      <c r="H87" s="77" t="n">
        <v>37660.35</v>
      </c>
      <c r="I87" s="77" t="n">
        <v>575665.35</v>
      </c>
      <c r="J87" s="38" t="inlineStr">
        <is>
          <t>📋 ติดตาม</t>
        </is>
      </c>
      <c r="K87" s="38" t="inlineStr">
        <is>
          <t>—</t>
        </is>
      </c>
      <c r="L87" s="38" t="inlineStr">
        <is>
          <t>กลาง</t>
        </is>
      </c>
      <c r="M87" s="38" t="inlineStr">
        <is>
          <t>—</t>
        </is>
      </c>
      <c r="N87" s="38" t="inlineStr">
        <is>
          <t>📧 ส่ง Email</t>
        </is>
      </c>
    </row>
    <row r="88" ht="14" customHeight="1">
      <c r="A88" s="38" t="n">
        <v>84</v>
      </c>
      <c r="B88" s="38" t="inlineStr">
        <is>
          <t>PL739</t>
        </is>
      </c>
      <c r="C88" s="39" t="inlineStr">
        <is>
          <t>แอ๊ดว้านซ์ R04</t>
        </is>
      </c>
      <c r="D88" s="38" t="inlineStr">
        <is>
          <t>2026-03</t>
        </is>
      </c>
      <c r="E88" s="39" t="inlineStr">
        <is>
          <t>High mast Pole 15 M วงแหวน 8 โ</t>
        </is>
      </c>
      <c r="F88" s="39" t="inlineStr">
        <is>
          <t>LKT. 2026-03 -PL739</t>
        </is>
      </c>
      <c r="G88" s="77" t="n">
        <v>528732</v>
      </c>
      <c r="H88" s="77" t="n">
        <v>37011.24</v>
      </c>
      <c r="I88" s="77" t="n">
        <v>565743.24</v>
      </c>
      <c r="J88" s="38" t="inlineStr">
        <is>
          <t>📋 ติดตาม</t>
        </is>
      </c>
      <c r="K88" s="38" t="inlineStr">
        <is>
          <t>—</t>
        </is>
      </c>
      <c r="L88" s="38" t="inlineStr">
        <is>
          <t>กลาง</t>
        </is>
      </c>
      <c r="M88" s="38" t="inlineStr">
        <is>
          <t>—</t>
        </is>
      </c>
      <c r="N88" s="38" t="inlineStr">
        <is>
          <t>📧 ส่ง Email</t>
        </is>
      </c>
    </row>
    <row r="89" ht="14" customHeight="1">
      <c r="A89" s="38" t="n">
        <v>85</v>
      </c>
      <c r="B89" s="38" t="inlineStr">
        <is>
          <t>PL881</t>
        </is>
      </c>
      <c r="C89" s="39" t="inlineStr">
        <is>
          <t>ส่องกิจก่อสร้าง  3.2</t>
        </is>
      </c>
      <c r="D89" s="38" t="inlineStr">
        <is>
          <t>2026-05</t>
        </is>
      </c>
      <c r="E89" s="39" t="inlineStr">
        <is>
          <t>เสาการดเรล OD100 H2.0M</t>
        </is>
      </c>
      <c r="F89" s="39" t="inlineStr">
        <is>
          <t>LKT. 2026-05-PL881</t>
        </is>
      </c>
      <c r="G89" s="77" t="n">
        <v>522547.76</v>
      </c>
      <c r="H89" s="77" t="n">
        <v>36578.34</v>
      </c>
      <c r="I89" s="77" t="n">
        <v>559126.1</v>
      </c>
      <c r="J89" s="38" t="inlineStr">
        <is>
          <t>📋 ติดตาม</t>
        </is>
      </c>
      <c r="K89" s="38" t="inlineStr">
        <is>
          <t>—</t>
        </is>
      </c>
      <c r="L89" s="38" t="inlineStr">
        <is>
          <t>กลาง</t>
        </is>
      </c>
      <c r="M89" s="38" t="inlineStr">
        <is>
          <t>—</t>
        </is>
      </c>
      <c r="N89" s="38" t="inlineStr">
        <is>
          <t>📧 ส่ง Email</t>
        </is>
      </c>
    </row>
    <row r="90" ht="14" customHeight="1">
      <c r="A90" s="38" t="n">
        <v>86</v>
      </c>
      <c r="B90" s="38" t="inlineStr">
        <is>
          <t>PL841</t>
        </is>
      </c>
      <c r="C90" s="39" t="inlineStr">
        <is>
          <t>ไอซีซี</t>
        </is>
      </c>
      <c r="D90" s="38" t="inlineStr">
        <is>
          <t>2026-04</t>
        </is>
      </c>
      <c r="E90" s="39" t="inlineStr">
        <is>
          <t xml:space="preserve">High mast Pole 25 M วงแหวน 6 </t>
        </is>
      </c>
      <c r="F90" s="39" t="inlineStr">
        <is>
          <t>LKT. 2026-04 -PL841</t>
        </is>
      </c>
      <c r="G90" s="77" t="n">
        <v>520320</v>
      </c>
      <c r="H90" s="77" t="n">
        <v>36422.4</v>
      </c>
      <c r="I90" s="77" t="n">
        <v>556742.4</v>
      </c>
      <c r="J90" s="38" t="inlineStr">
        <is>
          <t>📋 ติดตาม</t>
        </is>
      </c>
      <c r="K90" s="38" t="inlineStr">
        <is>
          <t>—</t>
        </is>
      </c>
      <c r="L90" s="38" t="inlineStr">
        <is>
          <t>กลาง</t>
        </is>
      </c>
      <c r="M90" s="38" t="inlineStr">
        <is>
          <t>—</t>
        </is>
      </c>
      <c r="N90" s="38" t="inlineStr">
        <is>
          <t>📧 ส่ง Email</t>
        </is>
      </c>
    </row>
    <row r="91" ht="14" customHeight="1">
      <c r="A91" s="38" t="n">
        <v>87</v>
      </c>
      <c r="B91" s="38" t="inlineStr">
        <is>
          <t>PL832</t>
        </is>
      </c>
      <c r="C91" s="39" t="inlineStr">
        <is>
          <t>บ.ศุภฤทธิ  เสา9ม.</t>
        </is>
      </c>
      <c r="D91" s="38" t="inlineStr">
        <is>
          <t>2026-04</t>
        </is>
      </c>
      <c r="E91" s="39" t="inlineStr">
        <is>
          <t>Pole With Bracket 9M-T4-TR</t>
        </is>
      </c>
      <c r="F91" s="39" t="inlineStr">
        <is>
          <t>LKT. 2026-04 -PL830</t>
        </is>
      </c>
      <c r="G91" s="77" t="n">
        <v>510580</v>
      </c>
      <c r="H91" s="77" t="n">
        <v>35740.6</v>
      </c>
      <c r="I91" s="77" t="n">
        <v>546320.6</v>
      </c>
      <c r="J91" s="38" t="inlineStr">
        <is>
          <t>📋 ติดตาม</t>
        </is>
      </c>
      <c r="K91" s="38" t="inlineStr">
        <is>
          <t>—</t>
        </is>
      </c>
      <c r="L91" s="38" t="inlineStr">
        <is>
          <t>กลาง</t>
        </is>
      </c>
      <c r="M91" s="38" t="inlineStr">
        <is>
          <t>—</t>
        </is>
      </c>
      <c r="N91" s="38" t="inlineStr">
        <is>
          <t>📧 ส่ง Email</t>
        </is>
      </c>
    </row>
    <row r="92" ht="14" customHeight="1">
      <c r="A92" s="38" t="n">
        <v>88</v>
      </c>
      <c r="B92" s="38" t="inlineStr">
        <is>
          <t>PL640</t>
        </is>
      </c>
      <c r="C92" s="39" t="inlineStr">
        <is>
          <t>บริษัท โกลว์ พาวเวอร์ เทคโนโลยี จำกัด-EGATJOB2 R2</t>
        </is>
      </c>
      <c r="D92" s="38" t="inlineStr">
        <is>
          <t>2026-01</t>
        </is>
      </c>
      <c r="E92" s="39" t="inlineStr">
        <is>
          <t>อื่นๆ</t>
        </is>
      </c>
      <c r="F92" s="39" t="inlineStr">
        <is>
          <t>LKT. 2026-01-PL640</t>
        </is>
      </c>
      <c r="G92" s="77" t="n">
        <v>487450</v>
      </c>
      <c r="H92" s="77" t="n">
        <v>34121.5</v>
      </c>
      <c r="I92" s="77" t="n">
        <v>521571.5</v>
      </c>
      <c r="J92" s="38" t="inlineStr">
        <is>
          <t>📋 ติดตาม</t>
        </is>
      </c>
      <c r="K92" s="38" t="inlineStr">
        <is>
          <t>—</t>
        </is>
      </c>
      <c r="L92" s="38" t="inlineStr">
        <is>
          <t>กลาง</t>
        </is>
      </c>
      <c r="M92" s="38" t="inlineStr">
        <is>
          <t>EGAT</t>
        </is>
      </c>
      <c r="N92" s="38" t="inlineStr">
        <is>
          <t>📧 ส่ง Email</t>
        </is>
      </c>
    </row>
    <row r="93" ht="14" customHeight="1">
      <c r="A93" s="38" t="n">
        <v>89</v>
      </c>
      <c r="B93" s="38" t="inlineStr">
        <is>
          <t>PL644</t>
        </is>
      </c>
      <c r="C93" s="39" t="inlineStr">
        <is>
          <t>พรีไซซ</t>
        </is>
      </c>
      <c r="D93" s="38" t="inlineStr">
        <is>
          <t>2026-01</t>
        </is>
      </c>
      <c r="E93" s="39" t="inlineStr">
        <is>
          <t>High Mast 15 M PCD550+วงแหวน 6</t>
        </is>
      </c>
      <c r="F93" s="39" t="inlineStr">
        <is>
          <t>LKT. 2026-01 -PL644</t>
        </is>
      </c>
      <c r="G93" s="77" t="n">
        <v>485874.2</v>
      </c>
      <c r="H93" s="77" t="n">
        <v>34011.19</v>
      </c>
      <c r="I93" s="77" t="n">
        <v>519885.39</v>
      </c>
      <c r="J93" s="38" t="inlineStr">
        <is>
          <t>📋 ติดตาม</t>
        </is>
      </c>
      <c r="K93" s="38" t="inlineStr">
        <is>
          <t>—</t>
        </is>
      </c>
      <c r="L93" s="38" t="inlineStr">
        <is>
          <t>กลาง</t>
        </is>
      </c>
      <c r="M93" s="38" t="inlineStr">
        <is>
          <t>—</t>
        </is>
      </c>
      <c r="N93" s="38" t="inlineStr">
        <is>
          <t>📧 ส่ง Email</t>
        </is>
      </c>
    </row>
    <row r="94" ht="14" customHeight="1">
      <c r="A94" s="38" t="n">
        <v>90</v>
      </c>
      <c r="B94" s="38" t="inlineStr">
        <is>
          <t>PL929</t>
        </is>
      </c>
      <c r="C94" s="39" t="inlineStr">
        <is>
          <t>เทพชูชัย</t>
        </is>
      </c>
      <c r="D94" s="38" t="inlineStr">
        <is>
          <t>2026-06</t>
        </is>
      </c>
      <c r="E94" s="39" t="inlineStr">
        <is>
          <t>High Mast Pole 10 M + วงแหวน 6</t>
        </is>
      </c>
      <c r="F94" s="39" t="inlineStr">
        <is>
          <t>LKT. 2026-06 -PL929</t>
        </is>
      </c>
      <c r="G94" s="77" t="n">
        <v>478044</v>
      </c>
      <c r="H94" s="77" t="n">
        <v>33463.08</v>
      </c>
      <c r="I94" s="77" t="n">
        <v>511507.08</v>
      </c>
      <c r="J94" s="38" t="inlineStr">
        <is>
          <t>📋 ติดตาม</t>
        </is>
      </c>
      <c r="K94" s="38" t="inlineStr">
        <is>
          <t>—</t>
        </is>
      </c>
      <c r="L94" s="38" t="inlineStr">
        <is>
          <t>กลาง</t>
        </is>
      </c>
      <c r="M94" s="38" t="inlineStr">
        <is>
          <t>—</t>
        </is>
      </c>
      <c r="N94" s="38" t="inlineStr">
        <is>
          <t>📧 ส่ง Email</t>
        </is>
      </c>
    </row>
    <row r="95" ht="14" customHeight="1">
      <c r="A95" s="38" t="n">
        <v>91</v>
      </c>
      <c r="B95" s="38" t="inlineStr">
        <is>
          <t>PL608</t>
        </is>
      </c>
      <c r="C95" s="39" t="inlineStr">
        <is>
          <t>คุณมานพ  รัตนภาค</t>
        </is>
      </c>
      <c r="D95" s="38" t="inlineStr">
        <is>
          <t>2026-01</t>
        </is>
      </c>
      <c r="E95" s="39" t="inlineStr">
        <is>
          <t>อื่นๆ</t>
        </is>
      </c>
      <c r="F95" s="39" t="inlineStr">
        <is>
          <t>LKT. 2026-01-PL608</t>
        </is>
      </c>
      <c r="G95" s="77" t="n">
        <v>476828.8</v>
      </c>
      <c r="H95" s="77" t="n">
        <v>33378.02</v>
      </c>
      <c r="I95" s="77" t="n">
        <v>510206.82</v>
      </c>
      <c r="J95" s="38" t="inlineStr">
        <is>
          <t>📋 ติดตาม</t>
        </is>
      </c>
      <c r="K95" s="38" t="inlineStr">
        <is>
          <t>—</t>
        </is>
      </c>
      <c r="L95" s="38" t="inlineStr">
        <is>
          <t>กลาง</t>
        </is>
      </c>
      <c r="M95" s="38" t="inlineStr">
        <is>
          <t>—</t>
        </is>
      </c>
      <c r="N95" s="38" t="inlineStr">
        <is>
          <t>📧 ส่ง Email</t>
        </is>
      </c>
    </row>
    <row r="96" ht="14" customHeight="1">
      <c r="A96" s="38" t="n">
        <v>92</v>
      </c>
      <c r="B96" s="38" t="inlineStr">
        <is>
          <t>PL747</t>
        </is>
      </c>
      <c r="C96" s="39" t="inlineStr">
        <is>
          <t>คุณเพชร</t>
        </is>
      </c>
      <c r="D96" s="38" t="inlineStr">
        <is>
          <t>2026-03</t>
        </is>
      </c>
      <c r="E96" s="39" t="inlineStr">
        <is>
          <t>High Mast 25 M+วงแหวน 2 ชั้น 1</t>
        </is>
      </c>
      <c r="F96" s="39" t="inlineStr">
        <is>
          <t>LKT. 2026-03 -PL747</t>
        </is>
      </c>
      <c r="G96" s="77" t="n">
        <v>473065.6</v>
      </c>
      <c r="H96" s="77" t="n">
        <v>33114.59</v>
      </c>
      <c r="I96" s="77" t="n">
        <v>506180.19</v>
      </c>
      <c r="J96" s="38" t="inlineStr">
        <is>
          <t>📋 ติดตาม</t>
        </is>
      </c>
      <c r="K96" s="38" t="inlineStr">
        <is>
          <t>—</t>
        </is>
      </c>
      <c r="L96" s="38" t="inlineStr">
        <is>
          <t>กลาง</t>
        </is>
      </c>
      <c r="M96" s="38" t="inlineStr">
        <is>
          <t>—</t>
        </is>
      </c>
      <c r="N96" s="38" t="inlineStr">
        <is>
          <t>📧 ส่ง Email</t>
        </is>
      </c>
    </row>
    <row r="97" ht="14" customHeight="1">
      <c r="A97" s="38" t="n">
        <v>93</v>
      </c>
      <c r="B97" s="38" t="inlineStr">
        <is>
          <t>PL895</t>
        </is>
      </c>
      <c r="C97" s="39" t="inlineStr">
        <is>
          <t>ไทยเกอร์</t>
        </is>
      </c>
      <c r="D97" s="38" t="inlineStr">
        <is>
          <t>2026-05</t>
        </is>
      </c>
      <c r="E97" s="39" t="inlineStr">
        <is>
          <t>Pole With Bracket 6M-T4-TR</t>
        </is>
      </c>
      <c r="F97" s="39" t="inlineStr">
        <is>
          <t>LKT. 2026-05-PL895</t>
        </is>
      </c>
      <c r="G97" s="77" t="n">
        <v>470743</v>
      </c>
      <c r="H97" s="77" t="n">
        <v>32952.01</v>
      </c>
      <c r="I97" s="77" t="n">
        <v>503695.01</v>
      </c>
      <c r="J97" s="38" t="inlineStr">
        <is>
          <t>📋 ติดตาม</t>
        </is>
      </c>
      <c r="K97" s="38" t="inlineStr">
        <is>
          <t>—</t>
        </is>
      </c>
      <c r="L97" s="38" t="inlineStr">
        <is>
          <t>กลาง</t>
        </is>
      </c>
      <c r="M97" s="38" t="inlineStr">
        <is>
          <t>—</t>
        </is>
      </c>
      <c r="N97" s="38" t="inlineStr">
        <is>
          <t>📧 ส่ง Email</t>
        </is>
      </c>
    </row>
    <row r="98" ht="14" customHeight="1">
      <c r="A98" s="38" t="n">
        <v>94</v>
      </c>
      <c r="B98" s="38" t="inlineStr">
        <is>
          <t>PL702</t>
        </is>
      </c>
      <c r="C98" s="39" t="inlineStr">
        <is>
          <t>ไอซีซี</t>
        </is>
      </c>
      <c r="D98" s="38" t="inlineStr">
        <is>
          <t>2026-02</t>
        </is>
      </c>
      <c r="E98" s="39" t="inlineStr">
        <is>
          <t>High mast Pole 25 M วงแหวน 8 โ</t>
        </is>
      </c>
      <c r="F98" s="39" t="inlineStr">
        <is>
          <t>LKT. 2026-02 -PL702</t>
        </is>
      </c>
      <c r="G98" s="77" t="n">
        <v>470361.6</v>
      </c>
      <c r="H98" s="77" t="n">
        <v>32925.31</v>
      </c>
      <c r="I98" s="77" t="n">
        <v>503286.91</v>
      </c>
      <c r="J98" s="38" t="inlineStr">
        <is>
          <t>📋 ติดตาม</t>
        </is>
      </c>
      <c r="K98" s="38" t="inlineStr">
        <is>
          <t>—</t>
        </is>
      </c>
      <c r="L98" s="38" t="inlineStr">
        <is>
          <t>กลาง</t>
        </is>
      </c>
      <c r="M98" s="38" t="inlineStr">
        <is>
          <t>—</t>
        </is>
      </c>
      <c r="N98" s="38" t="inlineStr">
        <is>
          <t>📧 ส่ง Email</t>
        </is>
      </c>
    </row>
    <row r="99" ht="14" customHeight="1">
      <c r="A99" s="38" t="n">
        <v>95</v>
      </c>
      <c r="B99" s="38" t="inlineStr">
        <is>
          <t>PL672</t>
        </is>
      </c>
      <c r="C99" s="39" t="inlineStr">
        <is>
          <t>ศิรประภาก่อสร้าง</t>
        </is>
      </c>
      <c r="D99" s="38" t="inlineStr">
        <is>
          <t>2026-01</t>
        </is>
      </c>
      <c r="E99" s="39" t="inlineStr">
        <is>
          <t>Pole With Bracket 9M-T4-TR</t>
        </is>
      </c>
      <c r="F99" s="39" t="inlineStr">
        <is>
          <t>LKT. 2026-01 -PL672</t>
        </is>
      </c>
      <c r="G99" s="77" t="n">
        <v>470057</v>
      </c>
      <c r="H99" s="77" t="n">
        <v>32903.99</v>
      </c>
      <c r="I99" s="77" t="n">
        <v>502960.99</v>
      </c>
      <c r="J99" s="38" t="inlineStr">
        <is>
          <t>📋 ติดตาม</t>
        </is>
      </c>
      <c r="K99" s="38" t="inlineStr">
        <is>
          <t>—</t>
        </is>
      </c>
      <c r="L99" s="38" t="inlineStr">
        <is>
          <t>กลาง</t>
        </is>
      </c>
      <c r="M99" s="38" t="inlineStr">
        <is>
          <t>—</t>
        </is>
      </c>
      <c r="N99" s="38" t="inlineStr">
        <is>
          <t>📧 ส่ง Email</t>
        </is>
      </c>
    </row>
    <row r="100" ht="14" customHeight="1">
      <c r="A100" s="38" t="n">
        <v>96</v>
      </c>
      <c r="B100" s="38" t="inlineStr">
        <is>
          <t>PL800</t>
        </is>
      </c>
      <c r="C100" s="39" t="inlineStr">
        <is>
          <t>T.K Electric เสา9 เมตร</t>
        </is>
      </c>
      <c r="D100" s="38" t="inlineStr">
        <is>
          <t>2026-04</t>
        </is>
      </c>
      <c r="E100" s="39" t="inlineStr">
        <is>
          <t>Pole With Bracket 9M-T4-TR</t>
        </is>
      </c>
      <c r="F100" s="39" t="inlineStr">
        <is>
          <t>LKT. 2026-03 -PL800</t>
        </is>
      </c>
      <c r="G100" s="77" t="n">
        <v>463078</v>
      </c>
      <c r="H100" s="77" t="n">
        <v>32415.46</v>
      </c>
      <c r="I100" s="77" t="n">
        <v>495493.46</v>
      </c>
      <c r="J100" s="38" t="inlineStr">
        <is>
          <t>📋 ติดตาม</t>
        </is>
      </c>
      <c r="K100" s="38" t="inlineStr">
        <is>
          <t>—</t>
        </is>
      </c>
      <c r="L100" s="38" t="inlineStr">
        <is>
          <t>กลาง</t>
        </is>
      </c>
      <c r="M100" s="38" t="inlineStr">
        <is>
          <t>—</t>
        </is>
      </c>
      <c r="N100" s="38" t="inlineStr">
        <is>
          <t>📧 ส่ง Email</t>
        </is>
      </c>
    </row>
    <row r="101" ht="14" customHeight="1">
      <c r="A101" s="38" t="n">
        <v>97</v>
      </c>
      <c r="B101" s="38" t="inlineStr">
        <is>
          <t>PL657</t>
        </is>
      </c>
      <c r="C101" s="39" t="inlineStr">
        <is>
          <t>บริษัท เอ็ม เอ็น พี เสิร์ฟ จำกัด</t>
        </is>
      </c>
      <c r="D101" s="38" t="inlineStr">
        <is>
          <t>2026-01</t>
        </is>
      </c>
      <c r="E101" s="39" t="inlineStr">
        <is>
          <t>เสากลมตรง CCTV 3''H 4 M 3t</t>
        </is>
      </c>
      <c r="F101" s="39" t="inlineStr">
        <is>
          <t>LKT. 2026-01 -PL657</t>
        </is>
      </c>
      <c r="G101" s="77" t="n">
        <v>460000</v>
      </c>
      <c r="H101" s="77" t="n">
        <v>32200</v>
      </c>
      <c r="I101" s="77" t="n">
        <v>492200</v>
      </c>
      <c r="J101" s="38" t="inlineStr">
        <is>
          <t>📋 ติดตาม</t>
        </is>
      </c>
      <c r="K101" s="38" t="inlineStr">
        <is>
          <t>—</t>
        </is>
      </c>
      <c r="L101" s="38" t="inlineStr">
        <is>
          <t>กลาง</t>
        </is>
      </c>
      <c r="M101" s="38" t="inlineStr">
        <is>
          <t>—</t>
        </is>
      </c>
      <c r="N101" s="38" t="inlineStr">
        <is>
          <t>📧 ส่ง Email</t>
        </is>
      </c>
    </row>
    <row r="102" ht="14" customHeight="1">
      <c r="A102" s="38" t="n">
        <v>98</v>
      </c>
      <c r="B102" s="38" t="inlineStr">
        <is>
          <t>PL927</t>
        </is>
      </c>
      <c r="C102" s="39" t="inlineStr">
        <is>
          <t>บ.ศุภฤทธิ</t>
        </is>
      </c>
      <c r="D102" s="38" t="inlineStr">
        <is>
          <t>2026-06</t>
        </is>
      </c>
      <c r="E102" s="39" t="inlineStr">
        <is>
          <t>Pole With Bracket 9M-T4-TR</t>
        </is>
      </c>
      <c r="F102" s="39" t="inlineStr">
        <is>
          <t>LKT. 2026-06-PL927</t>
        </is>
      </c>
      <c r="G102" s="77" t="n">
        <v>455112</v>
      </c>
      <c r="H102" s="77" t="n">
        <v>31857.84</v>
      </c>
      <c r="I102" s="77" t="n">
        <v>486969.84</v>
      </c>
      <c r="J102" s="38" t="inlineStr">
        <is>
          <t>📋 ติดตาม</t>
        </is>
      </c>
      <c r="K102" s="38" t="inlineStr">
        <is>
          <t>—</t>
        </is>
      </c>
      <c r="L102" s="38" t="inlineStr">
        <is>
          <t>กลาง</t>
        </is>
      </c>
      <c r="M102" s="38" t="inlineStr">
        <is>
          <t>—</t>
        </is>
      </c>
      <c r="N102" s="38" t="inlineStr">
        <is>
          <t>📧 ส่ง Email</t>
        </is>
      </c>
    </row>
    <row r="103" ht="14" customHeight="1">
      <c r="A103" s="38" t="n">
        <v>99</v>
      </c>
      <c r="B103" s="38" t="inlineStr">
        <is>
          <t>PL612</t>
        </is>
      </c>
      <c r="C103" s="39" t="inlineStr">
        <is>
          <t>สมบูรณ์อิเล็คทริค</t>
        </is>
      </c>
      <c r="D103" s="38" t="inlineStr">
        <is>
          <t>2026-01</t>
        </is>
      </c>
      <c r="E103" s="39" t="inlineStr">
        <is>
          <t xml:space="preserve">BTFL-ZC03-400W/LED FLOODLIGHT </t>
        </is>
      </c>
      <c r="F103" s="39" t="inlineStr">
        <is>
          <t>LKT. 2026-01 -PL612</t>
        </is>
      </c>
      <c r="G103" s="77" t="n">
        <v>453936</v>
      </c>
      <c r="H103" s="77" t="n">
        <v>31775.52</v>
      </c>
      <c r="I103" s="77" t="n">
        <v>485711.52</v>
      </c>
      <c r="J103" s="38" t="inlineStr">
        <is>
          <t>📋 ติดตาม</t>
        </is>
      </c>
      <c r="K103" s="38" t="inlineStr">
        <is>
          <t>—</t>
        </is>
      </c>
      <c r="L103" s="38" t="inlineStr">
        <is>
          <t>กลาง</t>
        </is>
      </c>
      <c r="M103" s="38" t="inlineStr">
        <is>
          <t>—</t>
        </is>
      </c>
      <c r="N103" s="38" t="inlineStr">
        <is>
          <t>📧 ส่ง Email</t>
        </is>
      </c>
    </row>
    <row r="104" ht="14" customHeight="1">
      <c r="A104" s="38" t="n">
        <v>100</v>
      </c>
      <c r="B104" s="38" t="inlineStr">
        <is>
          <t>PL713</t>
        </is>
      </c>
      <c r="C104" s="39" t="inlineStr">
        <is>
          <t>แซทคอมส์</t>
        </is>
      </c>
      <c r="D104" s="38" t="inlineStr">
        <is>
          <t>2026-02</t>
        </is>
      </c>
      <c r="E104" s="39" t="inlineStr">
        <is>
          <t>อื่นๆ</t>
        </is>
      </c>
      <c r="F104" s="39" t="n"/>
      <c r="G104" s="77" t="n">
        <v>453152</v>
      </c>
      <c r="H104" s="77" t="n">
        <v>31720.64</v>
      </c>
      <c r="I104" s="77" t="n">
        <v>484872.64</v>
      </c>
      <c r="J104" s="38" t="inlineStr">
        <is>
          <t>📋 ติดตาม</t>
        </is>
      </c>
      <c r="K104" s="38" t="inlineStr">
        <is>
          <t>—</t>
        </is>
      </c>
      <c r="L104" s="38" t="inlineStr">
        <is>
          <t>กลาง</t>
        </is>
      </c>
      <c r="M104" s="38" t="inlineStr">
        <is>
          <t>—</t>
        </is>
      </c>
      <c r="N104" s="38" t="inlineStr">
        <is>
          <t>📧 ส่ง Email</t>
        </is>
      </c>
    </row>
    <row r="105" ht="14" customHeight="1">
      <c r="A105" s="38" t="n">
        <v>101</v>
      </c>
      <c r="B105" s="38" t="inlineStr">
        <is>
          <t>PL636</t>
        </is>
      </c>
      <c r="C105" s="39" t="inlineStr">
        <is>
          <t>ท็อปเบสท์ แมนูแฟคเจอริ่ง</t>
        </is>
      </c>
      <c r="D105" s="38" t="inlineStr">
        <is>
          <t>2026-01</t>
        </is>
      </c>
      <c r="E105" s="39" t="inlineStr">
        <is>
          <t>Pole With Bracket 6M-T4-TR</t>
        </is>
      </c>
      <c r="F105" s="39" t="inlineStr">
        <is>
          <t>LKT. 2026-01 -PL636</t>
        </is>
      </c>
      <c r="G105" s="77" t="n">
        <v>444072.3</v>
      </c>
      <c r="H105" s="77" t="n">
        <v>31085.06</v>
      </c>
      <c r="I105" s="77" t="n">
        <v>475157.36</v>
      </c>
      <c r="J105" s="38" t="inlineStr">
        <is>
          <t>📋 ติดตาม</t>
        </is>
      </c>
      <c r="K105" s="38" t="inlineStr">
        <is>
          <t>—</t>
        </is>
      </c>
      <c r="L105" s="38" t="inlineStr">
        <is>
          <t>กลาง</t>
        </is>
      </c>
      <c r="M105" s="38" t="inlineStr">
        <is>
          <t>—</t>
        </is>
      </c>
      <c r="N105" s="38" t="inlineStr">
        <is>
          <t>📧 ส่ง Email</t>
        </is>
      </c>
    </row>
    <row r="106" ht="14" customHeight="1">
      <c r="A106" s="38" t="n">
        <v>102</v>
      </c>
      <c r="B106" s="38" t="inlineStr">
        <is>
          <t>PL685</t>
        </is>
      </c>
      <c r="C106" s="39" t="inlineStr">
        <is>
          <t>เทอร์ม เอ็นจิเนียริ่ง</t>
        </is>
      </c>
      <c r="D106" s="38" t="inlineStr">
        <is>
          <t>2026-02</t>
        </is>
      </c>
      <c r="E106" s="39" t="inlineStr">
        <is>
          <t>เสาสายลอฟา 30M</t>
        </is>
      </c>
      <c r="F106" s="39" t="inlineStr">
        <is>
          <t>LKT. 2026-02 -PL685</t>
        </is>
      </c>
      <c r="G106" s="77" t="n">
        <v>441196</v>
      </c>
      <c r="H106" s="77" t="n">
        <v>30883.72</v>
      </c>
      <c r="I106" s="77" t="n">
        <v>472079.72</v>
      </c>
      <c r="J106" s="38" t="inlineStr">
        <is>
          <t>📋 ติดตาม</t>
        </is>
      </c>
      <c r="K106" s="38" t="inlineStr">
        <is>
          <t>—</t>
        </is>
      </c>
      <c r="L106" s="38" t="inlineStr">
        <is>
          <t>กลาง</t>
        </is>
      </c>
      <c r="M106" s="38" t="inlineStr">
        <is>
          <t>—</t>
        </is>
      </c>
      <c r="N106" s="38" t="inlineStr">
        <is>
          <t>📧 ส่ง Email</t>
        </is>
      </c>
    </row>
    <row r="107" ht="14" customHeight="1">
      <c r="A107" s="38" t="n">
        <v>103</v>
      </c>
      <c r="B107" s="38" t="inlineStr">
        <is>
          <t>PL923</t>
        </is>
      </c>
      <c r="C107" s="39" t="inlineStr">
        <is>
          <t>เดลต้า พลัส เอ็นจิเนียริ่ง</t>
        </is>
      </c>
      <c r="D107" s="38" t="inlineStr">
        <is>
          <t>2026-06</t>
        </is>
      </c>
      <c r="E107" s="39" t="inlineStr">
        <is>
          <t>High Mast 10M 6t+Support 2ชั้น</t>
        </is>
      </c>
      <c r="F107" s="39" t="inlineStr">
        <is>
          <t>LKT. 2026-06-PL923</t>
        </is>
      </c>
      <c r="G107" s="77" t="n">
        <v>440200</v>
      </c>
      <c r="H107" s="77" t="n">
        <v>30814</v>
      </c>
      <c r="I107" s="77" t="n">
        <v>471014</v>
      </c>
      <c r="J107" s="38" t="inlineStr">
        <is>
          <t>📋 ติดตาม</t>
        </is>
      </c>
      <c r="K107" s="38" t="inlineStr">
        <is>
          <t>—</t>
        </is>
      </c>
      <c r="L107" s="38" t="inlineStr">
        <is>
          <t>กลาง</t>
        </is>
      </c>
      <c r="M107" s="38" t="inlineStr">
        <is>
          <t>DOA</t>
        </is>
      </c>
      <c r="N107" s="38" t="inlineStr">
        <is>
          <t>📧 ส่ง Email</t>
        </is>
      </c>
    </row>
    <row r="108" ht="14" customHeight="1">
      <c r="A108" s="38" t="n">
        <v>104</v>
      </c>
      <c r="B108" s="38" t="inlineStr">
        <is>
          <t>PL855</t>
        </is>
      </c>
      <c r="C108" s="39" t="inlineStr">
        <is>
          <t>บ.นิวสตาร์</t>
        </is>
      </c>
      <c r="D108" s="38" t="inlineStr">
        <is>
          <t>2026-05</t>
        </is>
      </c>
      <c r="E108" s="39" t="inlineStr">
        <is>
          <t>High Mast Pole 10 M + วงแหวน 6</t>
        </is>
      </c>
      <c r="F108" s="39" t="inlineStr">
        <is>
          <t>LKT. 2026-05-PL855</t>
        </is>
      </c>
      <c r="G108" s="77" t="n">
        <v>434532</v>
      </c>
      <c r="H108" s="77" t="n">
        <v>30417.24</v>
      </c>
      <c r="I108" s="77" t="n">
        <v>464949.24</v>
      </c>
      <c r="J108" s="38" t="inlineStr">
        <is>
          <t>📋 ติดตาม</t>
        </is>
      </c>
      <c r="K108" s="38" t="inlineStr">
        <is>
          <t>—</t>
        </is>
      </c>
      <c r="L108" s="38" t="inlineStr">
        <is>
          <t>กลาง</t>
        </is>
      </c>
      <c r="M108" s="38" t="inlineStr">
        <is>
          <t>—</t>
        </is>
      </c>
      <c r="N108" s="38" t="inlineStr">
        <is>
          <t>📧 ส่ง Email</t>
        </is>
      </c>
    </row>
    <row r="109" ht="14" customHeight="1">
      <c r="A109" s="38" t="n">
        <v>105</v>
      </c>
      <c r="B109" s="38" t="inlineStr">
        <is>
          <t>PL634</t>
        </is>
      </c>
      <c r="C109" s="39" t="inlineStr">
        <is>
          <t>ไอซีซี</t>
        </is>
      </c>
      <c r="D109" s="38" t="inlineStr">
        <is>
          <t>2026-01</t>
        </is>
      </c>
      <c r="E109" s="39" t="inlineStr">
        <is>
          <t>High mast Pole 25 M วงแหวน 8 โ</t>
        </is>
      </c>
      <c r="F109" s="39" t="inlineStr">
        <is>
          <t>LKT. 2026-01 -PL634</t>
        </is>
      </c>
      <c r="G109" s="77" t="n">
        <v>432140.8</v>
      </c>
      <c r="H109" s="77" t="n">
        <v>30249.86</v>
      </c>
      <c r="I109" s="77" t="n">
        <v>462390.66</v>
      </c>
      <c r="J109" s="38" t="inlineStr">
        <is>
          <t>📋 ติดตาม</t>
        </is>
      </c>
      <c r="K109" s="38" t="inlineStr">
        <is>
          <t>—</t>
        </is>
      </c>
      <c r="L109" s="38" t="inlineStr">
        <is>
          <t>กลาง</t>
        </is>
      </c>
      <c r="M109" s="38" t="inlineStr">
        <is>
          <t>—</t>
        </is>
      </c>
      <c r="N109" s="38" t="inlineStr">
        <is>
          <t>📧 ส่ง Email</t>
        </is>
      </c>
    </row>
    <row r="110" ht="14" customHeight="1">
      <c r="A110" s="38" t="n">
        <v>106</v>
      </c>
      <c r="B110" s="38" t="inlineStr">
        <is>
          <t>PL920</t>
        </is>
      </c>
      <c r="C110" s="39" t="inlineStr">
        <is>
          <t>ณัชนันท์ พีเอ</t>
        </is>
      </c>
      <c r="D110" s="38" t="inlineStr">
        <is>
          <t>2026-06</t>
        </is>
      </c>
      <c r="E110" s="39" t="inlineStr">
        <is>
          <t>Post Top Pole ตัว T 15 M+Arm B</t>
        </is>
      </c>
      <c r="F110" s="39" t="inlineStr">
        <is>
          <t>LKT. 2026-06 -PL920</t>
        </is>
      </c>
      <c r="G110" s="77" t="n">
        <v>428652</v>
      </c>
      <c r="H110" s="77" t="n">
        <v>30005.64</v>
      </c>
      <c r="I110" s="77" t="n">
        <v>458657.64</v>
      </c>
      <c r="J110" s="38" t="inlineStr">
        <is>
          <t>📋 ติดตาม</t>
        </is>
      </c>
      <c r="K110" s="38" t="inlineStr">
        <is>
          <t>—</t>
        </is>
      </c>
      <c r="L110" s="38" t="inlineStr">
        <is>
          <t>กลาง</t>
        </is>
      </c>
      <c r="M110" s="38" t="inlineStr">
        <is>
          <t>—</t>
        </is>
      </c>
      <c r="N110" s="38" t="inlineStr">
        <is>
          <t>📧 ส่ง Email</t>
        </is>
      </c>
    </row>
    <row r="111" ht="14" customHeight="1">
      <c r="A111" s="38" t="n">
        <v>107</v>
      </c>
      <c r="B111" s="38" t="inlineStr">
        <is>
          <t>PL785</t>
        </is>
      </c>
      <c r="C111" s="39" t="inlineStr">
        <is>
          <t>เอเชี่ยน</t>
        </is>
      </c>
      <c r="D111" s="38" t="inlineStr">
        <is>
          <t>2026-03</t>
        </is>
      </c>
      <c r="E111" s="39" t="inlineStr">
        <is>
          <t>Pole With Bracket 4M-T3.2-TR</t>
        </is>
      </c>
      <c r="F111" s="39" t="inlineStr">
        <is>
          <t>LKT. 2026-03 -PL783</t>
        </is>
      </c>
      <c r="G111" s="77" t="n">
        <v>423536.4</v>
      </c>
      <c r="H111" s="77" t="n">
        <v>29647.55</v>
      </c>
      <c r="I111" s="77" t="n">
        <v>453183.95</v>
      </c>
      <c r="J111" s="38" t="inlineStr">
        <is>
          <t>📋 ติดตาม</t>
        </is>
      </c>
      <c r="K111" s="38" t="inlineStr">
        <is>
          <t>—</t>
        </is>
      </c>
      <c r="L111" s="38" t="inlineStr">
        <is>
          <t>กลาง</t>
        </is>
      </c>
      <c r="M111" s="38" t="inlineStr">
        <is>
          <t>—</t>
        </is>
      </c>
      <c r="N111" s="38" t="inlineStr">
        <is>
          <t>📧 ส่ง Email</t>
        </is>
      </c>
    </row>
    <row r="112" ht="14" customHeight="1">
      <c r="A112" s="38" t="n">
        <v>108</v>
      </c>
      <c r="B112" s="38" t="inlineStr">
        <is>
          <t>PL734</t>
        </is>
      </c>
      <c r="C112" s="39" t="inlineStr">
        <is>
          <t>นราภรณ์</t>
        </is>
      </c>
      <c r="D112" s="38" t="inlineStr">
        <is>
          <t>2026-02</t>
        </is>
      </c>
      <c r="E112" s="39" t="inlineStr">
        <is>
          <t>อื่นๆ</t>
        </is>
      </c>
      <c r="F112" s="39" t="inlineStr">
        <is>
          <t>LKT. 2026-02-734</t>
        </is>
      </c>
      <c r="G112" s="77" t="n">
        <v>416343.2</v>
      </c>
      <c r="H112" s="77" t="n">
        <v>29144.02</v>
      </c>
      <c r="I112" s="77" t="n">
        <v>445487.22</v>
      </c>
      <c r="J112" s="38" t="inlineStr">
        <is>
          <t>📋 ติดตาม</t>
        </is>
      </c>
      <c r="K112" s="38" t="inlineStr">
        <is>
          <t>—</t>
        </is>
      </c>
      <c r="L112" s="38" t="inlineStr">
        <is>
          <t>กลาง</t>
        </is>
      </c>
      <c r="M112" s="38" t="inlineStr">
        <is>
          <t>—</t>
        </is>
      </c>
      <c r="N112" s="38" t="inlineStr">
        <is>
          <t>📧 ส่ง Email</t>
        </is>
      </c>
    </row>
    <row r="113" ht="14" customHeight="1">
      <c r="A113" s="38" t="n">
        <v>109</v>
      </c>
      <c r="B113" s="38" t="inlineStr">
        <is>
          <t>PL639</t>
        </is>
      </c>
      <c r="C113" s="39" t="inlineStr">
        <is>
          <t>บริษัท โกลว์ พาวเวอร์ เทคโนโลยี จำกัด-EGATJOB1 R01</t>
        </is>
      </c>
      <c r="D113" s="38" t="inlineStr">
        <is>
          <t>2026-01</t>
        </is>
      </c>
      <c r="E113" s="39" t="inlineStr">
        <is>
          <t>Pole With Bracket 5M-T4-TR</t>
        </is>
      </c>
      <c r="F113" s="39" t="inlineStr">
        <is>
          <t>LKT. 2026-01-PL638</t>
        </is>
      </c>
      <c r="G113" s="77" t="n">
        <v>405150</v>
      </c>
      <c r="H113" s="77" t="n">
        <v>28360.5</v>
      </c>
      <c r="I113" s="77" t="n">
        <v>433510.5</v>
      </c>
      <c r="J113" s="38" t="inlineStr">
        <is>
          <t>📋 ติดตาม</t>
        </is>
      </c>
      <c r="K113" s="38" t="inlineStr">
        <is>
          <t>—</t>
        </is>
      </c>
      <c r="L113" s="38" t="inlineStr">
        <is>
          <t>กลาง</t>
        </is>
      </c>
      <c r="M113" s="38" t="inlineStr">
        <is>
          <t>EGAT</t>
        </is>
      </c>
      <c r="N113" s="38" t="inlineStr">
        <is>
          <t>📧 ส่ง Email</t>
        </is>
      </c>
    </row>
    <row r="114" ht="14" customHeight="1">
      <c r="A114" s="38" t="n">
        <v>110</v>
      </c>
      <c r="B114" s="38" t="inlineStr">
        <is>
          <t>PL863</t>
        </is>
      </c>
      <c r="C114" s="39" t="inlineStr">
        <is>
          <t>ไอริส โอยามะ  R01</t>
        </is>
      </c>
      <c r="D114" s="38" t="inlineStr">
        <is>
          <t>2026-05</t>
        </is>
      </c>
      <c r="E114" s="39" t="inlineStr">
        <is>
          <t>High mast Pole 25 M วงแหวน 8 โ</t>
        </is>
      </c>
      <c r="F114" s="39" t="inlineStr">
        <is>
          <t>LKT. 2026-05 -PL863</t>
        </is>
      </c>
      <c r="G114" s="77" t="n">
        <v>402740.8</v>
      </c>
      <c r="H114" s="77" t="n">
        <v>28191.86</v>
      </c>
      <c r="I114" s="77" t="n">
        <v>430932.66</v>
      </c>
      <c r="J114" s="38" t="inlineStr">
        <is>
          <t>📋 ติดตาม</t>
        </is>
      </c>
      <c r="K114" s="38" t="inlineStr">
        <is>
          <t>—</t>
        </is>
      </c>
      <c r="L114" s="38" t="inlineStr">
        <is>
          <t>กลาง</t>
        </is>
      </c>
      <c r="M114" s="38" t="inlineStr">
        <is>
          <t>—</t>
        </is>
      </c>
      <c r="N114" s="38" t="inlineStr">
        <is>
          <t>📧 ส่ง Email</t>
        </is>
      </c>
    </row>
    <row r="115" ht="14" customHeight="1">
      <c r="A115" s="38" t="n">
        <v>111</v>
      </c>
      <c r="B115" s="38" t="inlineStr">
        <is>
          <t>PL825</t>
        </is>
      </c>
      <c r="C115" s="39" t="inlineStr">
        <is>
          <t>ช รุ่งแสง</t>
        </is>
      </c>
      <c r="D115" s="38" t="inlineStr">
        <is>
          <t>2026-04</t>
        </is>
      </c>
      <c r="E115" s="39" t="inlineStr">
        <is>
          <t>Pole With Bracket 8M-T4-TR</t>
        </is>
      </c>
      <c r="F115" s="39" t="inlineStr">
        <is>
          <t>LKT. 2026-04 -PL825</t>
        </is>
      </c>
      <c r="G115" s="77" t="n">
        <v>402325</v>
      </c>
      <c r="H115" s="77" t="n">
        <v>28162.75</v>
      </c>
      <c r="I115" s="77" t="n">
        <v>430487.75</v>
      </c>
      <c r="J115" s="38" t="inlineStr">
        <is>
          <t>📋 ติดตาม</t>
        </is>
      </c>
      <c r="K115" s="38" t="inlineStr">
        <is>
          <t>—</t>
        </is>
      </c>
      <c r="L115" s="38" t="inlineStr">
        <is>
          <t>กลาง</t>
        </is>
      </c>
      <c r="M115" s="38" t="inlineStr">
        <is>
          <t>—</t>
        </is>
      </c>
      <c r="N115" s="38" t="inlineStr">
        <is>
          <t>📧 ส่ง Email</t>
        </is>
      </c>
    </row>
    <row r="116" ht="14" customHeight="1">
      <c r="A116" s="38" t="n">
        <v>112</v>
      </c>
      <c r="B116" s="38" t="inlineStr">
        <is>
          <t>PL839</t>
        </is>
      </c>
      <c r="C116" s="39" t="inlineStr">
        <is>
          <t>คุณทยุตกรณ์</t>
        </is>
      </c>
      <c r="D116" s="38" t="inlineStr">
        <is>
          <t>2026-04</t>
        </is>
      </c>
      <c r="E116" s="39" t="inlineStr">
        <is>
          <t>High Mast 15 M+วงแหวน 4โคม PCD</t>
        </is>
      </c>
      <c r="F116" s="39" t="inlineStr">
        <is>
          <t>LKT. 2026-04 -PL839</t>
        </is>
      </c>
      <c r="G116" s="77" t="n">
        <v>399744</v>
      </c>
      <c r="H116" s="77" t="n">
        <v>27982.08</v>
      </c>
      <c r="I116" s="77" t="n">
        <v>427726.08</v>
      </c>
      <c r="J116" s="38" t="inlineStr">
        <is>
          <t>📋 ติดตาม</t>
        </is>
      </c>
      <c r="K116" s="38" t="inlineStr">
        <is>
          <t>—</t>
        </is>
      </c>
      <c r="L116" s="38" t="inlineStr">
        <is>
          <t>กลาง</t>
        </is>
      </c>
      <c r="M116" s="38" t="inlineStr">
        <is>
          <t>—</t>
        </is>
      </c>
      <c r="N116" s="38" t="inlineStr">
        <is>
          <t>📧 ส่ง Email</t>
        </is>
      </c>
    </row>
    <row r="117" ht="14" customHeight="1">
      <c r="A117" s="38" t="n">
        <v>113</v>
      </c>
      <c r="B117" s="38" t="inlineStr">
        <is>
          <t>PL805</t>
        </is>
      </c>
      <c r="C117" s="39" t="inlineStr">
        <is>
          <t>เบสท์แพ็ค คอนกรีต  เสา9 เมตร</t>
        </is>
      </c>
      <c r="D117" s="38" t="inlineStr">
        <is>
          <t>2026-04</t>
        </is>
      </c>
      <c r="E117" s="39" t="inlineStr">
        <is>
          <t>Pole With Bracket 9M-T4-TR</t>
        </is>
      </c>
      <c r="F117" s="39" t="inlineStr">
        <is>
          <t>LKT. 2026-03 -PL805</t>
        </is>
      </c>
      <c r="G117" s="77" t="n">
        <v>396838.75</v>
      </c>
      <c r="H117" s="77" t="n">
        <v>27778.71</v>
      </c>
      <c r="I117" s="77" t="n">
        <v>424617.46</v>
      </c>
      <c r="J117" s="38" t="inlineStr">
        <is>
          <t>📋 ติดตาม</t>
        </is>
      </c>
      <c r="K117" s="38" t="inlineStr">
        <is>
          <t>—</t>
        </is>
      </c>
      <c r="L117" s="38" t="inlineStr">
        <is>
          <t>กลาง</t>
        </is>
      </c>
      <c r="M117" s="38" t="inlineStr">
        <is>
          <t>—</t>
        </is>
      </c>
      <c r="N117" s="38" t="inlineStr">
        <is>
          <t>📧 ส่ง Email</t>
        </is>
      </c>
    </row>
    <row r="118" ht="14" customHeight="1">
      <c r="A118" s="38" t="n">
        <v>114</v>
      </c>
      <c r="B118" s="38" t="inlineStr">
        <is>
          <t>PL723</t>
        </is>
      </c>
      <c r="C118" s="39" t="n"/>
      <c r="D118" s="38" t="inlineStr">
        <is>
          <t>2026-02</t>
        </is>
      </c>
      <c r="E118" s="39" t="inlineStr">
        <is>
          <t>Pole With Bracket OD60.5 H6M</t>
        </is>
      </c>
      <c r="F118" s="39" t="inlineStr">
        <is>
          <t>LKT. 2026-02-723</t>
        </is>
      </c>
      <c r="G118" s="77" t="n">
        <v>386345.4</v>
      </c>
      <c r="H118" s="77" t="n">
        <v>27044.18</v>
      </c>
      <c r="I118" s="77" t="n">
        <v>413389.58</v>
      </c>
      <c r="J118" s="38" t="inlineStr">
        <is>
          <t>📋 ติดตาม</t>
        </is>
      </c>
      <c r="K118" s="38" t="inlineStr">
        <is>
          <t>—</t>
        </is>
      </c>
      <c r="L118" s="38" t="inlineStr">
        <is>
          <t>กลาง</t>
        </is>
      </c>
      <c r="M118" s="38" t="inlineStr">
        <is>
          <t>—</t>
        </is>
      </c>
      <c r="N118" s="38" t="inlineStr">
        <is>
          <t>📧 ส่ง Email</t>
        </is>
      </c>
    </row>
    <row r="119" ht="14" customHeight="1">
      <c r="A119" s="38" t="n">
        <v>115</v>
      </c>
      <c r="B119" s="38" t="inlineStr">
        <is>
          <t>PL696</t>
        </is>
      </c>
      <c r="C119" s="39" t="inlineStr">
        <is>
          <t>TK Electric -Split Type</t>
        </is>
      </c>
      <c r="D119" s="38" t="inlineStr">
        <is>
          <t>2026-02</t>
        </is>
      </c>
      <c r="E119" s="39" t="inlineStr">
        <is>
          <t>อื่นๆ</t>
        </is>
      </c>
      <c r="F119" s="39" t="inlineStr">
        <is>
          <t>LKT. 2026-02 -PL696</t>
        </is>
      </c>
      <c r="G119" s="77" t="n">
        <v>382200</v>
      </c>
      <c r="H119" s="77" t="n">
        <v>26754</v>
      </c>
      <c r="I119" s="77" t="n">
        <v>408954</v>
      </c>
      <c r="J119" s="38" t="inlineStr">
        <is>
          <t>📋 ติดตาม</t>
        </is>
      </c>
      <c r="K119" s="38" t="inlineStr">
        <is>
          <t>—</t>
        </is>
      </c>
      <c r="L119" s="38" t="inlineStr">
        <is>
          <t>กลาง</t>
        </is>
      </c>
      <c r="M119" s="38" t="inlineStr">
        <is>
          <t>—</t>
        </is>
      </c>
      <c r="N119" s="38" t="inlineStr">
        <is>
          <t>📧 ส่ง Email</t>
        </is>
      </c>
    </row>
    <row r="120" ht="14" customHeight="1">
      <c r="A120" s="38" t="n">
        <v>116</v>
      </c>
      <c r="B120" s="38" t="inlineStr">
        <is>
          <t>PL743</t>
        </is>
      </c>
      <c r="C120" s="39" t="inlineStr">
        <is>
          <t>บีเอ็นพี</t>
        </is>
      </c>
      <c r="D120" s="38" t="inlineStr">
        <is>
          <t>2026-03</t>
        </is>
      </c>
      <c r="E120" s="39" t="inlineStr">
        <is>
          <t>เสากลมตรง 3'' OD88.9 3.2t H6M</t>
        </is>
      </c>
      <c r="F120" s="39" t="inlineStr">
        <is>
          <t>LKT. 2026-03 -PL743</t>
        </is>
      </c>
      <c r="G120" s="77" t="n">
        <v>366854</v>
      </c>
      <c r="H120" s="77" t="n">
        <v>25679.78</v>
      </c>
      <c r="I120" s="77" t="n">
        <v>392533.78</v>
      </c>
      <c r="J120" s="38" t="inlineStr">
        <is>
          <t>📋 ติดตาม</t>
        </is>
      </c>
      <c r="K120" s="38" t="inlineStr">
        <is>
          <t>—</t>
        </is>
      </c>
      <c r="L120" s="38" t="inlineStr">
        <is>
          <t>กลาง</t>
        </is>
      </c>
      <c r="M120" s="38" t="inlineStr">
        <is>
          <t>—</t>
        </is>
      </c>
      <c r="N120" s="38" t="inlineStr">
        <is>
          <t>📧 ส่ง Email</t>
        </is>
      </c>
    </row>
    <row r="121" ht="14" customHeight="1">
      <c r="A121" s="38" t="n">
        <v>117</v>
      </c>
      <c r="B121" s="38" t="inlineStr">
        <is>
          <t>PL803</t>
        </is>
      </c>
      <c r="C121" s="39" t="inlineStr">
        <is>
          <t>บ.  เด็คก้า High mast 15 M 6 โค</t>
        </is>
      </c>
      <c r="D121" s="38" t="inlineStr">
        <is>
          <t>2026-04</t>
        </is>
      </c>
      <c r="E121" s="39" t="inlineStr">
        <is>
          <t>High mast Pole 15 M วงแหวน 6 โ</t>
        </is>
      </c>
      <c r="F121" s="39" t="inlineStr">
        <is>
          <t>LKT. 2026-04 -PL803</t>
        </is>
      </c>
      <c r="G121" s="77" t="n">
        <v>359072</v>
      </c>
      <c r="H121" s="77" t="n">
        <v>25135.04</v>
      </c>
      <c r="I121" s="77" t="n">
        <v>384207.04</v>
      </c>
      <c r="J121" s="38" t="inlineStr">
        <is>
          <t>📋 ติดตาม</t>
        </is>
      </c>
      <c r="K121" s="38" t="inlineStr">
        <is>
          <t>—</t>
        </is>
      </c>
      <c r="L121" s="38" t="inlineStr">
        <is>
          <t>กลาง</t>
        </is>
      </c>
      <c r="M121" s="38" t="inlineStr">
        <is>
          <t>—</t>
        </is>
      </c>
      <c r="N121" s="38" t="inlineStr">
        <is>
          <t>📧 ส่ง Email</t>
        </is>
      </c>
    </row>
    <row r="122" ht="14" customHeight="1">
      <c r="A122" s="38" t="n">
        <v>118</v>
      </c>
      <c r="B122" s="38" t="inlineStr">
        <is>
          <t>PL744</t>
        </is>
      </c>
      <c r="C122" s="39" t="inlineStr">
        <is>
          <t>บลูไลน์ จี.โอ.ซีสเต็ม</t>
        </is>
      </c>
      <c r="D122" s="38" t="inlineStr">
        <is>
          <t>2026-03</t>
        </is>
      </c>
      <c r="E122" s="39" t="inlineStr">
        <is>
          <t>เสากลมตรง 4''OD 114.3 H5M 2.3t</t>
        </is>
      </c>
      <c r="F122" s="39" t="inlineStr">
        <is>
          <t>LKT. 2026-03 -PL743</t>
        </is>
      </c>
      <c r="G122" s="77" t="n">
        <v>355005</v>
      </c>
      <c r="H122" s="77" t="n">
        <v>24850.35</v>
      </c>
      <c r="I122" s="77" t="n">
        <v>379855.35</v>
      </c>
      <c r="J122" s="38" t="inlineStr">
        <is>
          <t>📋 ติดตาม</t>
        </is>
      </c>
      <c r="K122" s="38" t="inlineStr">
        <is>
          <t>—</t>
        </is>
      </c>
      <c r="L122" s="38" t="inlineStr">
        <is>
          <t>กลาง</t>
        </is>
      </c>
      <c r="M122" s="38" t="inlineStr">
        <is>
          <t>—</t>
        </is>
      </c>
      <c r="N122" s="38" t="inlineStr">
        <is>
          <t>📧 ส่ง Email</t>
        </is>
      </c>
    </row>
    <row r="123" ht="14" customHeight="1">
      <c r="A123" s="38" t="n">
        <v>119</v>
      </c>
      <c r="B123" s="38" t="inlineStr">
        <is>
          <t>PL909</t>
        </is>
      </c>
      <c r="C123" s="39" t="inlineStr">
        <is>
          <t>บ.เจมินี เทค กรมท่ากระบี่</t>
        </is>
      </c>
      <c r="D123" s="38" t="inlineStr">
        <is>
          <t>2026-05</t>
        </is>
      </c>
      <c r="E123" s="39" t="inlineStr">
        <is>
          <t>อื่นๆ</t>
        </is>
      </c>
      <c r="F123" s="39" t="inlineStr">
        <is>
          <t>LKT. 2026-05 -PL909</t>
        </is>
      </c>
      <c r="G123" s="77" t="n">
        <v>350550</v>
      </c>
      <c r="H123" s="77" t="n">
        <v>24538.5</v>
      </c>
      <c r="I123" s="77" t="n">
        <v>375088.5</v>
      </c>
      <c r="J123" s="38" t="inlineStr">
        <is>
          <t>📋 ติดตาม</t>
        </is>
      </c>
      <c r="K123" s="38" t="inlineStr">
        <is>
          <t>—</t>
        </is>
      </c>
      <c r="L123" s="38" t="inlineStr">
        <is>
          <t>กลาง</t>
        </is>
      </c>
      <c r="M123" s="38" t="inlineStr">
        <is>
          <t>DOA</t>
        </is>
      </c>
      <c r="N123" s="38" t="inlineStr">
        <is>
          <t>📧 ส่ง Email</t>
        </is>
      </c>
    </row>
    <row r="124" ht="14" customHeight="1">
      <c r="A124" s="38" t="n">
        <v>120</v>
      </c>
      <c r="B124" s="38" t="inlineStr">
        <is>
          <t>PL756</t>
        </is>
      </c>
      <c r="C124" s="39" t="inlineStr">
        <is>
          <t>อินเตอร์ เอ็กซ์เพิร์ท -สนามฟุตบอล 7 คน</t>
        </is>
      </c>
      <c r="D124" s="38" t="inlineStr">
        <is>
          <t>2026-03</t>
        </is>
      </c>
      <c r="E124" s="39" t="inlineStr">
        <is>
          <t>Post Top Pole 12M-T4-TR</t>
        </is>
      </c>
      <c r="F124" s="39" t="inlineStr">
        <is>
          <t>LKT. 2026-03 -PL756</t>
        </is>
      </c>
      <c r="G124" s="77" t="n">
        <v>346170.6</v>
      </c>
      <c r="H124" s="77" t="n">
        <v>24231.94</v>
      </c>
      <c r="I124" s="77" t="n">
        <v>370402.54</v>
      </c>
      <c r="J124" s="38" t="inlineStr">
        <is>
          <t>📋 ติดตาม</t>
        </is>
      </c>
      <c r="K124" s="38" t="inlineStr">
        <is>
          <t>—</t>
        </is>
      </c>
      <c r="L124" s="38" t="inlineStr">
        <is>
          <t>กลาง</t>
        </is>
      </c>
      <c r="M124" s="38" t="inlineStr">
        <is>
          <t>—</t>
        </is>
      </c>
      <c r="N124" s="38" t="inlineStr">
        <is>
          <t>📧 ส่ง Email</t>
        </is>
      </c>
    </row>
    <row r="125" ht="14" customHeight="1">
      <c r="A125" s="38" t="n">
        <v>121</v>
      </c>
      <c r="B125" s="38" t="inlineStr">
        <is>
          <t>PL856</t>
        </is>
      </c>
      <c r="C125" s="39" t="inlineStr">
        <is>
          <t>เค บี เอ็ม  เสา HM 30ม.</t>
        </is>
      </c>
      <c r="D125" s="38" t="inlineStr">
        <is>
          <t>2026-05</t>
        </is>
      </c>
      <c r="E125" s="39" t="inlineStr">
        <is>
          <t>High mast Pole 30 M วงแหวน 8 โ</t>
        </is>
      </c>
      <c r="F125" s="39" t="inlineStr">
        <is>
          <t>LKT. 2026-05 -PL856</t>
        </is>
      </c>
      <c r="G125" s="77" t="n">
        <v>342216</v>
      </c>
      <c r="H125" s="77" t="n">
        <v>23955.12</v>
      </c>
      <c r="I125" s="77" t="n">
        <v>366171.12</v>
      </c>
      <c r="J125" s="38" t="inlineStr">
        <is>
          <t>📋 ติดตาม</t>
        </is>
      </c>
      <c r="K125" s="38" t="inlineStr">
        <is>
          <t>—</t>
        </is>
      </c>
      <c r="L125" s="38" t="inlineStr">
        <is>
          <t>กลาง</t>
        </is>
      </c>
      <c r="M125" s="38" t="inlineStr">
        <is>
          <t>อปท. Supply</t>
        </is>
      </c>
      <c r="N125" s="38" t="inlineStr">
        <is>
          <t>📧 ส่ง Email</t>
        </is>
      </c>
    </row>
    <row r="126" ht="14" customHeight="1">
      <c r="A126" s="38" t="n">
        <v>122</v>
      </c>
      <c r="B126" s="38" t="inlineStr">
        <is>
          <t>PL892</t>
        </is>
      </c>
      <c r="C126" s="39" t="inlineStr">
        <is>
          <t>ณญาริน 6M1B</t>
        </is>
      </c>
      <c r="D126" s="38" t="inlineStr">
        <is>
          <t>2026-05</t>
        </is>
      </c>
      <c r="E126" s="39" t="inlineStr">
        <is>
          <t>Pole With Bracket 6M-T4-TR</t>
        </is>
      </c>
      <c r="F126" s="39" t="inlineStr">
        <is>
          <t>LKT. 2026-05 -PL892</t>
        </is>
      </c>
      <c r="G126" s="77" t="n">
        <v>340600</v>
      </c>
      <c r="H126" s="77" t="n">
        <v>23842</v>
      </c>
      <c r="I126" s="77" t="n">
        <v>364442</v>
      </c>
      <c r="J126" s="38" t="inlineStr">
        <is>
          <t>📋 ติดตาม</t>
        </is>
      </c>
      <c r="K126" s="38" t="inlineStr">
        <is>
          <t>—</t>
        </is>
      </c>
      <c r="L126" s="38" t="inlineStr">
        <is>
          <t>กลาง</t>
        </is>
      </c>
      <c r="M126" s="38" t="inlineStr">
        <is>
          <t>—</t>
        </is>
      </c>
      <c r="N126" s="38" t="inlineStr">
        <is>
          <t>📧 ส่ง Email</t>
        </is>
      </c>
    </row>
    <row r="127" ht="14" customHeight="1">
      <c r="A127" s="38" t="n">
        <v>123</v>
      </c>
      <c r="B127" s="38" t="inlineStr">
        <is>
          <t>PL735</t>
        </is>
      </c>
      <c r="C127" s="39" t="inlineStr">
        <is>
          <t>ไลท์อัพ</t>
        </is>
      </c>
      <c r="D127" s="38" t="inlineStr">
        <is>
          <t>2026-02</t>
        </is>
      </c>
      <c r="E127" s="39" t="inlineStr">
        <is>
          <t>เสากลมตรง 4''OD114.3 H6M ไมชุ</t>
        </is>
      </c>
      <c r="F127" s="39" t="inlineStr">
        <is>
          <t>LKT. 2026-02-735</t>
        </is>
      </c>
      <c r="G127" s="77" t="n">
        <v>337790</v>
      </c>
      <c r="H127" s="77" t="n">
        <v>23645.3</v>
      </c>
      <c r="I127" s="77" t="n">
        <v>361435.3</v>
      </c>
      <c r="J127" s="38" t="inlineStr">
        <is>
          <t>📋 ติดตาม</t>
        </is>
      </c>
      <c r="K127" s="38" t="inlineStr">
        <is>
          <t>—</t>
        </is>
      </c>
      <c r="L127" s="38" t="inlineStr">
        <is>
          <t>กลาง</t>
        </is>
      </c>
      <c r="M127" s="38" t="inlineStr">
        <is>
          <t>—</t>
        </is>
      </c>
      <c r="N127" s="38" t="inlineStr">
        <is>
          <t>📧 ส่ง Email</t>
        </is>
      </c>
    </row>
    <row r="128" ht="14" customHeight="1">
      <c r="A128" s="38" t="n">
        <v>124</v>
      </c>
      <c r="B128" s="38" t="inlineStr">
        <is>
          <t>PL671</t>
        </is>
      </c>
      <c r="C128" s="39" t="inlineStr">
        <is>
          <t>ซีไลท์ดีเวลลอปเมนท์</t>
        </is>
      </c>
      <c r="D128" s="38" t="inlineStr">
        <is>
          <t>2026-01</t>
        </is>
      </c>
      <c r="E128" s="39" t="inlineStr">
        <is>
          <t>อื่นๆ</t>
        </is>
      </c>
      <c r="F128" s="39" t="inlineStr">
        <is>
          <t>LKT. 2026-01-PL671</t>
        </is>
      </c>
      <c r="G128" s="77" t="n">
        <v>336176.5</v>
      </c>
      <c r="H128" s="77" t="n">
        <v>23532.36</v>
      </c>
      <c r="I128" s="77" t="n">
        <v>359708.86</v>
      </c>
      <c r="J128" s="38" t="inlineStr">
        <is>
          <t>📋 ติดตาม</t>
        </is>
      </c>
      <c r="K128" s="38" t="inlineStr">
        <is>
          <t>—</t>
        </is>
      </c>
      <c r="L128" s="38" t="inlineStr">
        <is>
          <t>กลาง</t>
        </is>
      </c>
      <c r="M128" s="38" t="inlineStr">
        <is>
          <t>—</t>
        </is>
      </c>
      <c r="N128" s="38" t="inlineStr">
        <is>
          <t>📧 ส่ง Email</t>
        </is>
      </c>
    </row>
    <row r="129" ht="14" customHeight="1">
      <c r="A129" s="38" t="n">
        <v>125</v>
      </c>
      <c r="B129" s="38" t="inlineStr">
        <is>
          <t>PL864</t>
        </is>
      </c>
      <c r="C129" s="39" t="inlineStr">
        <is>
          <t>เค บี เอ็ม 15 ม.</t>
        </is>
      </c>
      <c r="D129" s="38" t="inlineStr">
        <is>
          <t>2026-05</t>
        </is>
      </c>
      <c r="E129" s="39" t="inlineStr">
        <is>
          <t>High mast Pole 15 M วงแหวน 6โค</t>
        </is>
      </c>
      <c r="F129" s="39" t="inlineStr">
        <is>
          <t>LKT. 2026-05 -PL850</t>
        </is>
      </c>
      <c r="G129" s="77" t="n">
        <v>330064</v>
      </c>
      <c r="H129" s="77" t="n">
        <v>23104.48</v>
      </c>
      <c r="I129" s="77" t="n">
        <v>353168.48</v>
      </c>
      <c r="J129" s="38" t="inlineStr">
        <is>
          <t>📋 ติดตาม</t>
        </is>
      </c>
      <c r="K129" s="38" t="inlineStr">
        <is>
          <t>—</t>
        </is>
      </c>
      <c r="L129" s="38" t="inlineStr">
        <is>
          <t>กลาง</t>
        </is>
      </c>
      <c r="M129" s="38" t="inlineStr">
        <is>
          <t>อปท. Supply</t>
        </is>
      </c>
      <c r="N129" s="38" t="inlineStr">
        <is>
          <t>📧 ส่ง Email</t>
        </is>
      </c>
    </row>
    <row r="130" ht="14" customHeight="1">
      <c r="A130" s="38" t="n">
        <v>126</v>
      </c>
      <c r="B130" s="38" t="inlineStr">
        <is>
          <t>PL675</t>
        </is>
      </c>
      <c r="C130" s="39" t="inlineStr">
        <is>
          <t>เอ เอส เอ็ม</t>
        </is>
      </c>
      <c r="D130" s="38" t="inlineStr">
        <is>
          <t>2026-01</t>
        </is>
      </c>
      <c r="E130" s="39" t="inlineStr">
        <is>
          <t>อื่นๆ</t>
        </is>
      </c>
      <c r="F130" s="39" t="inlineStr">
        <is>
          <t>LKT. 2026-01 -PL675</t>
        </is>
      </c>
      <c r="G130" s="77" t="n">
        <v>320900</v>
      </c>
      <c r="H130" s="77" t="n">
        <v>22463</v>
      </c>
      <c r="I130" s="77" t="n">
        <v>343363</v>
      </c>
      <c r="J130" s="38" t="inlineStr">
        <is>
          <t>📋 ติดตาม</t>
        </is>
      </c>
      <c r="K130" s="38" t="inlineStr">
        <is>
          <t>—</t>
        </is>
      </c>
      <c r="L130" s="38" t="inlineStr">
        <is>
          <t>กลาง</t>
        </is>
      </c>
      <c r="M130" s="38" t="inlineStr">
        <is>
          <t>—</t>
        </is>
      </c>
      <c r="N130" s="38" t="inlineStr">
        <is>
          <t>📧 ส่ง Email</t>
        </is>
      </c>
    </row>
    <row r="131" ht="14" customHeight="1">
      <c r="A131" s="38" t="n">
        <v>127</v>
      </c>
      <c r="B131" s="38" t="inlineStr">
        <is>
          <t>PL659</t>
        </is>
      </c>
      <c r="C131" s="39" t="inlineStr">
        <is>
          <t>PT ส พิรุณพร</t>
        </is>
      </c>
      <c r="D131" s="38" t="inlineStr">
        <is>
          <t>2026-01</t>
        </is>
      </c>
      <c r="E131" s="39" t="inlineStr">
        <is>
          <t>LED Streetlight 150W 5700K 23,</t>
        </is>
      </c>
      <c r="F131" s="39" t="inlineStr">
        <is>
          <t>LKT. 2026-01 -PL659</t>
        </is>
      </c>
      <c r="G131" s="77" t="n">
        <v>308896</v>
      </c>
      <c r="H131" s="77" t="n">
        <v>21622.72</v>
      </c>
      <c r="I131" s="77" t="n">
        <v>330518.72</v>
      </c>
      <c r="J131" s="38" t="inlineStr">
        <is>
          <t>📋 ติดตาม</t>
        </is>
      </c>
      <c r="K131" s="38" t="inlineStr">
        <is>
          <t>—</t>
        </is>
      </c>
      <c r="L131" s="38" t="inlineStr">
        <is>
          <t>กลาง</t>
        </is>
      </c>
      <c r="M131" s="38" t="inlineStr">
        <is>
          <t>—</t>
        </is>
      </c>
      <c r="N131" s="38" t="inlineStr">
        <is>
          <t>📧 ส่ง Email</t>
        </is>
      </c>
    </row>
    <row r="132" ht="14" customHeight="1">
      <c r="A132" s="38" t="n">
        <v>128</v>
      </c>
      <c r="B132" s="38" t="inlineStr">
        <is>
          <t>PL753</t>
        </is>
      </c>
      <c r="C132" s="39" t="inlineStr">
        <is>
          <t>ปั๊มน้ำมัน  ส พิรุณพร</t>
        </is>
      </c>
      <c r="D132" s="38" t="inlineStr">
        <is>
          <t>2026-03</t>
        </is>
      </c>
      <c r="E132" s="39" t="inlineStr">
        <is>
          <t>LED Streetlight 150W 5700K 23,</t>
        </is>
      </c>
      <c r="F132" s="39" t="inlineStr">
        <is>
          <t>LKT. 2026-01 -PL659</t>
        </is>
      </c>
      <c r="G132" s="77" t="n">
        <v>308896</v>
      </c>
      <c r="H132" s="77" t="n">
        <v>21622.72</v>
      </c>
      <c r="I132" s="77" t="n">
        <v>330518.72</v>
      </c>
      <c r="J132" s="38" t="inlineStr">
        <is>
          <t>📋 ติดตาม</t>
        </is>
      </c>
      <c r="K132" s="38" t="inlineStr">
        <is>
          <t>—</t>
        </is>
      </c>
      <c r="L132" s="38" t="inlineStr">
        <is>
          <t>กลาง</t>
        </is>
      </c>
      <c r="M132" s="38" t="inlineStr">
        <is>
          <t>—</t>
        </is>
      </c>
      <c r="N132" s="38" t="inlineStr">
        <is>
          <t>📧 ส่ง Email</t>
        </is>
      </c>
    </row>
    <row r="133" ht="14" customHeight="1">
      <c r="A133" s="38" t="n">
        <v>129</v>
      </c>
      <c r="B133" s="38" t="inlineStr">
        <is>
          <t>PL750</t>
        </is>
      </c>
      <c r="C133" s="39" t="inlineStr">
        <is>
          <t>ปี๊มน้ำมัน บริษัท เค.บี.เอ็ม . เทคโนโลยีส์ จำกัด</t>
        </is>
      </c>
      <c r="D133" s="38" t="inlineStr">
        <is>
          <t>2026-03</t>
        </is>
      </c>
      <c r="E133" s="39" t="inlineStr">
        <is>
          <t>LED Canopy Model 3 - 100W 5700</t>
        </is>
      </c>
      <c r="F133" s="39" t="inlineStr">
        <is>
          <t>LKT. 2026-03-750</t>
        </is>
      </c>
      <c r="G133" s="77" t="n">
        <v>304655.5</v>
      </c>
      <c r="H133" s="77" t="n">
        <v>21325.89</v>
      </c>
      <c r="I133" s="77" t="n">
        <v>325981.39</v>
      </c>
      <c r="J133" s="38" t="inlineStr">
        <is>
          <t>📋 ติดตาม</t>
        </is>
      </c>
      <c r="K133" s="38" t="inlineStr">
        <is>
          <t>—</t>
        </is>
      </c>
      <c r="L133" s="38" t="inlineStr">
        <is>
          <t>กลาง</t>
        </is>
      </c>
      <c r="M133" s="38" t="inlineStr">
        <is>
          <t>—</t>
        </is>
      </c>
      <c r="N133" s="38" t="inlineStr">
        <is>
          <t>📧 ส่ง Email</t>
        </is>
      </c>
    </row>
    <row r="134" ht="14" customHeight="1">
      <c r="A134" s="38" t="n">
        <v>130</v>
      </c>
      <c r="B134" s="38" t="inlineStr">
        <is>
          <t>PL804</t>
        </is>
      </c>
      <c r="C134" s="39" t="inlineStr">
        <is>
          <t>อริยทรัพย์</t>
        </is>
      </c>
      <c r="D134" s="38" t="inlineStr">
        <is>
          <t>2026-04</t>
        </is>
      </c>
      <c r="E134" s="39" t="inlineStr">
        <is>
          <t>High mast Pole 20 M วงแหวน 8 โ</t>
        </is>
      </c>
      <c r="F134" s="39" t="inlineStr">
        <is>
          <t>LKT. 2026-04 -PL802</t>
        </is>
      </c>
      <c r="G134" s="77" t="n">
        <v>301350</v>
      </c>
      <c r="H134" s="77" t="n">
        <v>21094.5</v>
      </c>
      <c r="I134" s="77" t="n">
        <v>322444.5</v>
      </c>
      <c r="J134" s="38" t="inlineStr">
        <is>
          <t>📋 ติดตาม</t>
        </is>
      </c>
      <c r="K134" s="38" t="inlineStr">
        <is>
          <t>—</t>
        </is>
      </c>
      <c r="L134" s="38" t="inlineStr">
        <is>
          <t>กลาง</t>
        </is>
      </c>
      <c r="M134" s="38" t="inlineStr">
        <is>
          <t>—</t>
        </is>
      </c>
      <c r="N134" s="38" t="inlineStr">
        <is>
          <t>📧 ส่ง Email</t>
        </is>
      </c>
    </row>
    <row r="135" ht="14" customHeight="1">
      <c r="A135" s="38" t="n">
        <v>131</v>
      </c>
      <c r="B135" s="38" t="inlineStr">
        <is>
          <t>PL871</t>
        </is>
      </c>
      <c r="C135" s="39" t="inlineStr">
        <is>
          <t>สมบูรณ์อิเลคทริค หนองบัวลำภู</t>
        </is>
      </c>
      <c r="D135" s="38" t="inlineStr">
        <is>
          <t>2026-05</t>
        </is>
      </c>
      <c r="E135" s="39" t="inlineStr">
        <is>
          <t>ชุดวายริ่งสายไฟเขา 6 ดวงโคม</t>
        </is>
      </c>
      <c r="F135" s="39" t="inlineStr">
        <is>
          <t>LKT. 2026-05-869</t>
        </is>
      </c>
      <c r="G135" s="77" t="n">
        <v>299684</v>
      </c>
      <c r="H135" s="77" t="n">
        <v>20977.88</v>
      </c>
      <c r="I135" s="77" t="n">
        <v>320661.88</v>
      </c>
      <c r="J135" s="38" t="inlineStr">
        <is>
          <t>📋 ติดตาม</t>
        </is>
      </c>
      <c r="K135" s="38" t="inlineStr">
        <is>
          <t>—</t>
        </is>
      </c>
      <c r="L135" s="38" t="inlineStr">
        <is>
          <t>กลาง</t>
        </is>
      </c>
      <c r="M135" s="38" t="inlineStr">
        <is>
          <t>—</t>
        </is>
      </c>
      <c r="N135" s="38" t="inlineStr">
        <is>
          <t>📧 ส่ง Email</t>
        </is>
      </c>
    </row>
    <row r="136" ht="14" customHeight="1">
      <c r="A136" s="38" t="n">
        <v>132</v>
      </c>
      <c r="B136" s="38" t="inlineStr">
        <is>
          <t>PL936</t>
        </is>
      </c>
      <c r="C136" s="39" t="inlineStr">
        <is>
          <t>คุณนพกร</t>
        </is>
      </c>
      <c r="D136" s="38" t="inlineStr">
        <is>
          <t>2026-06</t>
        </is>
      </c>
      <c r="E136" s="39" t="inlineStr">
        <is>
          <t>การ์ดเรล Ø48.3×2.5t สีขาว-แดง</t>
        </is>
      </c>
      <c r="F136" s="39" t="inlineStr">
        <is>
          <t>LKT. 2026-06 -PL936</t>
        </is>
      </c>
      <c r="G136" s="77" t="n">
        <v>299651.52</v>
      </c>
      <c r="H136" s="77" t="n">
        <v>20975.61</v>
      </c>
      <c r="I136" s="77" t="n">
        <v>320627.13</v>
      </c>
      <c r="J136" s="38" t="inlineStr">
        <is>
          <t>📋 ติดตาม</t>
        </is>
      </c>
      <c r="K136" s="38" t="inlineStr">
        <is>
          <t>—</t>
        </is>
      </c>
      <c r="L136" s="38" t="inlineStr">
        <is>
          <t>กลาง</t>
        </is>
      </c>
      <c r="M136" s="38" t="inlineStr">
        <is>
          <t>—</t>
        </is>
      </c>
      <c r="N136" s="38" t="inlineStr">
        <is>
          <t>📧 ส่ง Email</t>
        </is>
      </c>
    </row>
    <row r="137" ht="14" customHeight="1">
      <c r="A137" s="38" t="n">
        <v>133</v>
      </c>
      <c r="B137" s="38" t="inlineStr">
        <is>
          <t>PL718</t>
        </is>
      </c>
      <c r="C137" s="39" t="inlineStr">
        <is>
          <t>บ.อินทิกริตี้ เซอร์วิส</t>
        </is>
      </c>
      <c r="D137" s="38" t="inlineStr">
        <is>
          <t>2026-02</t>
        </is>
      </c>
      <c r="E137" s="39" t="inlineStr">
        <is>
          <t>High Mast 25M+Support 3ชั้น H1</t>
        </is>
      </c>
      <c r="F137" s="39" t="inlineStr">
        <is>
          <t>LKT. 2026-02 -PL718</t>
        </is>
      </c>
      <c r="G137" s="77" t="n">
        <v>295060</v>
      </c>
      <c r="H137" s="77" t="n">
        <v>20654.2</v>
      </c>
      <c r="I137" s="77" t="n">
        <v>315714.2</v>
      </c>
      <c r="J137" s="38" t="inlineStr">
        <is>
          <t>📋 ติดตาม</t>
        </is>
      </c>
      <c r="K137" s="38" t="inlineStr">
        <is>
          <t>—</t>
        </is>
      </c>
      <c r="L137" s="38" t="inlineStr">
        <is>
          <t>กลาง</t>
        </is>
      </c>
      <c r="M137" s="38" t="inlineStr">
        <is>
          <t>—</t>
        </is>
      </c>
      <c r="N137" s="38" t="inlineStr">
        <is>
          <t>📧 ส่ง Email</t>
        </is>
      </c>
    </row>
    <row r="138" ht="14" customHeight="1">
      <c r="A138" s="38" t="n">
        <v>134</v>
      </c>
      <c r="B138" s="38" t="inlineStr">
        <is>
          <t>PL848</t>
        </is>
      </c>
      <c r="C138" s="39" t="inlineStr">
        <is>
          <t>เอส ที เซอร์วิส ชุมพร</t>
        </is>
      </c>
      <c r="D138" s="38" t="inlineStr">
        <is>
          <t>2026-05</t>
        </is>
      </c>
      <c r="E138" s="39" t="inlineStr">
        <is>
          <t xml:space="preserve">High mast Pole 15 M วงแหวน 6 </t>
        </is>
      </c>
      <c r="F138" s="39" t="inlineStr">
        <is>
          <t>LKT. 2026-05 -PL848</t>
        </is>
      </c>
      <c r="G138" s="77" t="n">
        <v>284709.6</v>
      </c>
      <c r="H138" s="77" t="n">
        <v>19929.67</v>
      </c>
      <c r="I138" s="77" t="n">
        <v>304639.27</v>
      </c>
      <c r="J138" s="38" t="inlineStr">
        <is>
          <t>📋 ติดตาม</t>
        </is>
      </c>
      <c r="K138" s="38" t="inlineStr">
        <is>
          <t>—</t>
        </is>
      </c>
      <c r="L138" s="38" t="inlineStr">
        <is>
          <t>กลาง</t>
        </is>
      </c>
      <c r="M138" s="38" t="inlineStr">
        <is>
          <t>—</t>
        </is>
      </c>
      <c r="N138" s="38" t="inlineStr">
        <is>
          <t>📧 ส่ง Email</t>
        </is>
      </c>
    </row>
    <row r="139" ht="14" customHeight="1">
      <c r="A139" s="38" t="n">
        <v>135</v>
      </c>
      <c r="B139" s="38" t="inlineStr">
        <is>
          <t>PL698</t>
        </is>
      </c>
      <c r="C139" s="39" t="inlineStr">
        <is>
          <t>เอ็ม สปอร์ต</t>
        </is>
      </c>
      <c r="D139" s="38" t="inlineStr">
        <is>
          <t>2026-02</t>
        </is>
      </c>
      <c r="E139" s="39" t="inlineStr">
        <is>
          <t>อื่นๆ</t>
        </is>
      </c>
      <c r="F139" s="39" t="inlineStr">
        <is>
          <t>LKT. 2026-02 -PL698</t>
        </is>
      </c>
      <c r="G139" s="77" t="n">
        <v>284200</v>
      </c>
      <c r="H139" s="77" t="n">
        <v>19894</v>
      </c>
      <c r="I139" s="77" t="n">
        <v>304094</v>
      </c>
      <c r="J139" s="38" t="inlineStr">
        <is>
          <t>📋 ติดตาม</t>
        </is>
      </c>
      <c r="K139" s="38" t="inlineStr">
        <is>
          <t>—</t>
        </is>
      </c>
      <c r="L139" s="38" t="inlineStr">
        <is>
          <t>กลาง</t>
        </is>
      </c>
      <c r="M139" s="38" t="inlineStr">
        <is>
          <t>—</t>
        </is>
      </c>
      <c r="N139" s="38" t="inlineStr">
        <is>
          <t>📧 ส่ง Email</t>
        </is>
      </c>
    </row>
    <row r="140" ht="14" customHeight="1">
      <c r="A140" s="38" t="n">
        <v>136</v>
      </c>
      <c r="B140" s="38" t="inlineStr">
        <is>
          <t>PL690</t>
        </is>
      </c>
      <c r="C140" s="39" t="inlineStr">
        <is>
          <t>สยามเอ็กซ์เทน</t>
        </is>
      </c>
      <c r="D140" s="38" t="inlineStr">
        <is>
          <t>2026-02</t>
        </is>
      </c>
      <c r="E140" s="39" t="inlineStr">
        <is>
          <t xml:space="preserve">High mast Pole 20 M วงแหวน 6 </t>
        </is>
      </c>
      <c r="F140" s="39" t="inlineStr">
        <is>
          <t>LKT. 2026-02 -PL690</t>
        </is>
      </c>
      <c r="G140" s="77" t="n">
        <v>281808.8</v>
      </c>
      <c r="H140" s="77" t="n">
        <v>19726.62</v>
      </c>
      <c r="I140" s="77" t="n">
        <v>301535.42</v>
      </c>
      <c r="J140" s="38" t="inlineStr">
        <is>
          <t>📋 ติดตาม</t>
        </is>
      </c>
      <c r="K140" s="38" t="inlineStr">
        <is>
          <t>—</t>
        </is>
      </c>
      <c r="L140" s="38" t="inlineStr">
        <is>
          <t>กลาง</t>
        </is>
      </c>
      <c r="M140" s="38" t="inlineStr">
        <is>
          <t>—</t>
        </is>
      </c>
      <c r="N140" s="38" t="inlineStr">
        <is>
          <t>📧 ส่ง Email</t>
        </is>
      </c>
    </row>
    <row r="141" ht="14" customHeight="1">
      <c r="A141" s="38" t="n">
        <v>137</v>
      </c>
      <c r="B141" s="38" t="inlineStr">
        <is>
          <t>PL643</t>
        </is>
      </c>
      <c r="C141" s="39" t="inlineStr">
        <is>
          <t>กรรณเลิศ เทรดดิ้ง</t>
        </is>
      </c>
      <c r="D141" s="38" t="inlineStr">
        <is>
          <t>2026-01</t>
        </is>
      </c>
      <c r="E141" s="39" t="inlineStr">
        <is>
          <t>Pole With Bracket 9M-T4-TR</t>
        </is>
      </c>
      <c r="F141" s="39" t="inlineStr">
        <is>
          <t>LKT. 2026-01 -PL642</t>
        </is>
      </c>
      <c r="G141" s="77" t="n">
        <v>281652</v>
      </c>
      <c r="H141" s="77" t="n">
        <v>19715.64</v>
      </c>
      <c r="I141" s="77" t="n">
        <v>301367.64</v>
      </c>
      <c r="J141" s="38" t="inlineStr">
        <is>
          <t>📋 ติดตาม</t>
        </is>
      </c>
      <c r="K141" s="38" t="inlineStr">
        <is>
          <t>—</t>
        </is>
      </c>
      <c r="L141" s="38" t="inlineStr">
        <is>
          <t>กลาง</t>
        </is>
      </c>
      <c r="M141" s="38" t="inlineStr">
        <is>
          <t>—</t>
        </is>
      </c>
      <c r="N141" s="38" t="inlineStr">
        <is>
          <t>📧 ส่ง Email</t>
        </is>
      </c>
    </row>
    <row r="142" ht="14" customHeight="1">
      <c r="A142" s="38" t="n">
        <v>138</v>
      </c>
      <c r="B142" s="38" t="inlineStr">
        <is>
          <t>PL779</t>
        </is>
      </c>
      <c r="C142" s="39" t="inlineStr">
        <is>
          <t>ภูมิพฤกษา</t>
        </is>
      </c>
      <c r="D142" s="38" t="inlineStr">
        <is>
          <t>2026-03</t>
        </is>
      </c>
      <c r="E142" s="39" t="inlineStr">
        <is>
          <t>High mast Pole 15 M วงแหวน 8 โ</t>
        </is>
      </c>
      <c r="F142" s="39" t="inlineStr">
        <is>
          <t>LKT. 2026-03 -PL779</t>
        </is>
      </c>
      <c r="G142" s="77" t="n">
        <v>280770</v>
      </c>
      <c r="H142" s="77" t="n">
        <v>19653.9</v>
      </c>
      <c r="I142" s="77" t="n">
        <v>300423.9</v>
      </c>
      <c r="J142" s="38" t="inlineStr">
        <is>
          <t>📋 ติดตาม</t>
        </is>
      </c>
      <c r="K142" s="38" t="inlineStr">
        <is>
          <t>—</t>
        </is>
      </c>
      <c r="L142" s="38" t="inlineStr">
        <is>
          <t>กลาง</t>
        </is>
      </c>
      <c r="M142" s="38" t="inlineStr">
        <is>
          <t>—</t>
        </is>
      </c>
      <c r="N142" s="38" t="inlineStr">
        <is>
          <t>📧 ส่ง Email</t>
        </is>
      </c>
    </row>
    <row r="143" ht="14" customHeight="1">
      <c r="A143" s="46" t="n">
        <v>139</v>
      </c>
      <c r="B143" s="46" t="inlineStr">
        <is>
          <t>PL719</t>
        </is>
      </c>
      <c r="C143" s="47" t="inlineStr">
        <is>
          <t>สมปอง</t>
        </is>
      </c>
      <c r="D143" s="46" t="inlineStr">
        <is>
          <t>2026-02</t>
        </is>
      </c>
      <c r="E143" s="47" t="inlineStr">
        <is>
          <t>High mast Pole 30 M วงแหวน 8 โ</t>
        </is>
      </c>
      <c r="F143" s="47" t="inlineStr">
        <is>
          <t>LKT. 2026-02-719</t>
        </is>
      </c>
      <c r="G143" s="78" t="n">
        <v>279574.4</v>
      </c>
      <c r="H143" s="78" t="n">
        <v>19570.21</v>
      </c>
      <c r="I143" s="78" t="n">
        <v>299144.61</v>
      </c>
      <c r="J143" s="46" t="inlineStr">
        <is>
          <t>⚪ รอผล</t>
        </is>
      </c>
      <c r="K143" s="46" t="inlineStr">
        <is>
          <t>—</t>
        </is>
      </c>
      <c r="L143" s="46" t="inlineStr">
        <is>
          <t>ต่ำ</t>
        </is>
      </c>
      <c r="M143" s="46" t="inlineStr">
        <is>
          <t>—</t>
        </is>
      </c>
      <c r="N143" s="46" t="inlineStr">
        <is>
          <t>⚪ รอสอบถาม</t>
        </is>
      </c>
    </row>
    <row r="144" ht="14" customHeight="1">
      <c r="A144" s="46" t="n">
        <v>140</v>
      </c>
      <c r="B144" s="46" t="inlineStr">
        <is>
          <t>PL866</t>
        </is>
      </c>
      <c r="C144" s="47" t="inlineStr">
        <is>
          <t>ไทยเค โกลบอล</t>
        </is>
      </c>
      <c r="D144" s="46" t="inlineStr">
        <is>
          <t>2026-05</t>
        </is>
      </c>
      <c r="E144" s="47" t="inlineStr">
        <is>
          <t>High mast Pole 15 M วงแหวน 4 โ</t>
        </is>
      </c>
      <c r="F144" s="47" t="inlineStr">
        <is>
          <t>LKT. 2026-05 -PL866</t>
        </is>
      </c>
      <c r="G144" s="78" t="n">
        <v>276752</v>
      </c>
      <c r="H144" s="78" t="n">
        <v>19372.64</v>
      </c>
      <c r="I144" s="78" t="n">
        <v>296124.64</v>
      </c>
      <c r="J144" s="46" t="inlineStr">
        <is>
          <t>⚪ รอผล</t>
        </is>
      </c>
      <c r="K144" s="46" t="inlineStr">
        <is>
          <t>—</t>
        </is>
      </c>
      <c r="L144" s="46" t="inlineStr">
        <is>
          <t>ต่ำ</t>
        </is>
      </c>
      <c r="M144" s="46" t="inlineStr">
        <is>
          <t>—</t>
        </is>
      </c>
      <c r="N144" s="46" t="inlineStr">
        <is>
          <t>⚪ รอสอบถาม</t>
        </is>
      </c>
    </row>
    <row r="145" ht="14" customHeight="1">
      <c r="A145" s="46" t="n">
        <v>141</v>
      </c>
      <c r="B145" s="46" t="inlineStr">
        <is>
          <t>PL679</t>
        </is>
      </c>
      <c r="C145" s="47" t="inlineStr">
        <is>
          <t>พลอยภัค</t>
        </is>
      </c>
      <c r="D145" s="46" t="inlineStr">
        <is>
          <t>2026-01</t>
        </is>
      </c>
      <c r="E145" s="47" t="inlineStr">
        <is>
          <t>Pole With Bracket 14M-T4-TR</t>
        </is>
      </c>
      <c r="F145" s="47" t="inlineStr">
        <is>
          <t>LKT. 2026-01 -PL679</t>
        </is>
      </c>
      <c r="G145" s="78" t="n">
        <v>271656</v>
      </c>
      <c r="H145" s="78" t="n">
        <v>19015.92</v>
      </c>
      <c r="I145" s="78" t="n">
        <v>290671.92</v>
      </c>
      <c r="J145" s="46" t="inlineStr">
        <is>
          <t>⚪ รอผล</t>
        </is>
      </c>
      <c r="K145" s="46" t="inlineStr">
        <is>
          <t>—</t>
        </is>
      </c>
      <c r="L145" s="46" t="inlineStr">
        <is>
          <t>ต่ำ</t>
        </is>
      </c>
      <c r="M145" s="46" t="inlineStr">
        <is>
          <t>—</t>
        </is>
      </c>
      <c r="N145" s="46" t="inlineStr">
        <is>
          <t>⚪ รอสอบถาม</t>
        </is>
      </c>
    </row>
    <row r="146" ht="14" customHeight="1">
      <c r="A146" s="46" t="n">
        <v>142</v>
      </c>
      <c r="B146" s="46" t="inlineStr">
        <is>
          <t>PL726</t>
        </is>
      </c>
      <c r="C146" s="47" t="inlineStr">
        <is>
          <t>ร้าน เอพี กรุ๊ป</t>
        </is>
      </c>
      <c r="D146" s="46" t="inlineStr">
        <is>
          <t>2026-02</t>
        </is>
      </c>
      <c r="E146" s="47" t="inlineStr">
        <is>
          <t>Pole With Bracket 7M-T4-TR</t>
        </is>
      </c>
      <c r="F146" s="47" t="inlineStr">
        <is>
          <t>LKT. 2026-02 -PL726</t>
        </is>
      </c>
      <c r="G146" s="78" t="n">
        <v>270970</v>
      </c>
      <c r="H146" s="78" t="n">
        <v>18967.9</v>
      </c>
      <c r="I146" s="78" t="n">
        <v>289937.9</v>
      </c>
      <c r="J146" s="46" t="inlineStr">
        <is>
          <t>⚪ รอผล</t>
        </is>
      </c>
      <c r="K146" s="46" t="inlineStr">
        <is>
          <t>—</t>
        </is>
      </c>
      <c r="L146" s="46" t="inlineStr">
        <is>
          <t>ต่ำ</t>
        </is>
      </c>
      <c r="M146" s="46" t="inlineStr">
        <is>
          <t>—</t>
        </is>
      </c>
      <c r="N146" s="46" t="inlineStr">
        <is>
          <t>⚪ รอสอบถาม</t>
        </is>
      </c>
    </row>
    <row r="147" ht="14" customHeight="1">
      <c r="A147" s="46" t="n">
        <v>143</v>
      </c>
      <c r="B147" s="46" t="inlineStr">
        <is>
          <t>PL799</t>
        </is>
      </c>
      <c r="C147" s="47" t="inlineStr">
        <is>
          <t>เมธาภาวัต</t>
        </is>
      </c>
      <c r="D147" s="46" t="inlineStr">
        <is>
          <t>2026-04</t>
        </is>
      </c>
      <c r="E147" s="47" t="inlineStr">
        <is>
          <t>High mast Pole 25 M วงแหวน 8 โ</t>
        </is>
      </c>
      <c r="F147" s="47" t="inlineStr">
        <is>
          <t>LKT. 2026-04-PL799</t>
        </is>
      </c>
      <c r="G147" s="78" t="n">
        <v>269794</v>
      </c>
      <c r="H147" s="78" t="n">
        <v>18885.58</v>
      </c>
      <c r="I147" s="78" t="n">
        <v>288679.58</v>
      </c>
      <c r="J147" s="46" t="inlineStr">
        <is>
          <t>⚪ รอผล</t>
        </is>
      </c>
      <c r="K147" s="46" t="inlineStr">
        <is>
          <t>—</t>
        </is>
      </c>
      <c r="L147" s="46" t="inlineStr">
        <is>
          <t>ต่ำ</t>
        </is>
      </c>
      <c r="M147" s="46" t="inlineStr">
        <is>
          <t>—</t>
        </is>
      </c>
      <c r="N147" s="46" t="inlineStr">
        <is>
          <t>⚪ รอสอบถาม</t>
        </is>
      </c>
    </row>
    <row r="148" ht="14" customHeight="1">
      <c r="A148" s="46" t="n">
        <v>144</v>
      </c>
      <c r="B148" s="46" t="inlineStr">
        <is>
          <t>PL763</t>
        </is>
      </c>
      <c r="C148" s="47" t="inlineStr">
        <is>
          <t>หจก.มัลติเคิล ลาจเน็จ</t>
        </is>
      </c>
      <c r="D148" s="46" t="inlineStr">
        <is>
          <t>2026-03</t>
        </is>
      </c>
      <c r="E148" s="47" t="inlineStr">
        <is>
          <t xml:space="preserve">โคมไฟถนนหลังเตา E40 HPS 250W </t>
        </is>
      </c>
      <c r="F148" s="47" t="inlineStr">
        <is>
          <t>LKT. 2026-03 -PL763</t>
        </is>
      </c>
      <c r="G148" s="78" t="n">
        <v>244647.2</v>
      </c>
      <c r="H148" s="78" t="n">
        <v>17125.3</v>
      </c>
      <c r="I148" s="78" t="n">
        <v>261772.5</v>
      </c>
      <c r="J148" s="46" t="inlineStr">
        <is>
          <t>⚪ รอผล</t>
        </is>
      </c>
      <c r="K148" s="46" t="inlineStr">
        <is>
          <t>—</t>
        </is>
      </c>
      <c r="L148" s="46" t="inlineStr">
        <is>
          <t>ต่ำ</t>
        </is>
      </c>
      <c r="M148" s="46" t="inlineStr">
        <is>
          <t>—</t>
        </is>
      </c>
      <c r="N148" s="46" t="inlineStr">
        <is>
          <t>⚪ รอสอบถาม</t>
        </is>
      </c>
    </row>
    <row r="149" ht="14" customHeight="1">
      <c r="A149" s="46" t="n">
        <v>145</v>
      </c>
      <c r="B149" s="46" t="inlineStr">
        <is>
          <t>PL727</t>
        </is>
      </c>
      <c r="C149" s="47" t="inlineStr">
        <is>
          <t>กรุงเทพสนามจันทร์</t>
        </is>
      </c>
      <c r="D149" s="46" t="inlineStr">
        <is>
          <t>2026-02</t>
        </is>
      </c>
      <c r="E149" s="47" t="inlineStr">
        <is>
          <t xml:space="preserve">High mast Pole 15 M วงแหวน 6 </t>
        </is>
      </c>
      <c r="F149" s="47" t="inlineStr">
        <is>
          <t>LKT. 2026-02-727</t>
        </is>
      </c>
      <c r="G149" s="78" t="n">
        <v>238022.4</v>
      </c>
      <c r="H149" s="78" t="n">
        <v>16661.57</v>
      </c>
      <c r="I149" s="78" t="n">
        <v>254683.97</v>
      </c>
      <c r="J149" s="46" t="inlineStr">
        <is>
          <t>⚪ รอผล</t>
        </is>
      </c>
      <c r="K149" s="46" t="inlineStr">
        <is>
          <t>—</t>
        </is>
      </c>
      <c r="L149" s="46" t="inlineStr">
        <is>
          <t>ต่ำ</t>
        </is>
      </c>
      <c r="M149" s="46" t="inlineStr">
        <is>
          <t>—</t>
        </is>
      </c>
      <c r="N149" s="46" t="inlineStr">
        <is>
          <t>⚪ รอสอบถาม</t>
        </is>
      </c>
    </row>
    <row r="150" ht="14" customHeight="1">
      <c r="A150" s="46" t="n">
        <v>146</v>
      </c>
      <c r="B150" s="46" t="inlineStr">
        <is>
          <t>PL720</t>
        </is>
      </c>
      <c r="C150" s="47" t="inlineStr">
        <is>
          <t>กัณฑพงษ์</t>
        </is>
      </c>
      <c r="D150" s="46" t="inlineStr">
        <is>
          <t>2026-02</t>
        </is>
      </c>
      <c r="E150" s="47" t="inlineStr">
        <is>
          <t>Pole With Bracket 9M-T4-TR</t>
        </is>
      </c>
      <c r="F150" s="47" t="inlineStr">
        <is>
          <t>LKT. 2026-02 -PL680</t>
        </is>
      </c>
      <c r="G150" s="78" t="n">
        <v>232848</v>
      </c>
      <c r="H150" s="78" t="n">
        <v>16299.36</v>
      </c>
      <c r="I150" s="78" t="n">
        <v>249147.36</v>
      </c>
      <c r="J150" s="46" t="inlineStr">
        <is>
          <t>⚪ รอผล</t>
        </is>
      </c>
      <c r="K150" s="46" t="inlineStr">
        <is>
          <t>—</t>
        </is>
      </c>
      <c r="L150" s="46" t="inlineStr">
        <is>
          <t>ต่ำ</t>
        </is>
      </c>
      <c r="M150" s="46" t="inlineStr">
        <is>
          <t>—</t>
        </is>
      </c>
      <c r="N150" s="46" t="inlineStr">
        <is>
          <t>⚪ รอสอบถาม</t>
        </is>
      </c>
    </row>
    <row r="151" ht="14" customHeight="1">
      <c r="A151" s="46" t="n">
        <v>147</v>
      </c>
      <c r="B151" s="46" t="inlineStr">
        <is>
          <t>PL704</t>
        </is>
      </c>
      <c r="C151" s="47" t="inlineStr">
        <is>
          <t>ประดิษฐ์</t>
        </is>
      </c>
      <c r="D151" s="46" t="inlineStr">
        <is>
          <t>2026-02</t>
        </is>
      </c>
      <c r="E151" s="47" t="inlineStr">
        <is>
          <t>อื่นๆ</t>
        </is>
      </c>
      <c r="F151" s="47" t="inlineStr">
        <is>
          <t>LKT. 2026-02 -PL704</t>
        </is>
      </c>
      <c r="G151" s="78" t="n">
        <v>231828.8</v>
      </c>
      <c r="H151" s="78" t="n">
        <v>16228.02</v>
      </c>
      <c r="I151" s="78" t="n">
        <v>248056.82</v>
      </c>
      <c r="J151" s="46" t="inlineStr">
        <is>
          <t>⚪ รอผล</t>
        </is>
      </c>
      <c r="K151" s="46" t="inlineStr">
        <is>
          <t>—</t>
        </is>
      </c>
      <c r="L151" s="46" t="inlineStr">
        <is>
          <t>ต่ำ</t>
        </is>
      </c>
      <c r="M151" s="46" t="inlineStr">
        <is>
          <t>—</t>
        </is>
      </c>
      <c r="N151" s="46" t="inlineStr">
        <is>
          <t>⚪ รอสอบถาม</t>
        </is>
      </c>
    </row>
    <row r="152" ht="14" customHeight="1">
      <c r="A152" s="46" t="n">
        <v>148</v>
      </c>
      <c r="B152" s="46" t="inlineStr">
        <is>
          <t>PL849</t>
        </is>
      </c>
      <c r="C152" s="47" t="inlineStr">
        <is>
          <t>วันชัย</t>
        </is>
      </c>
      <c r="D152" s="46" t="inlineStr">
        <is>
          <t>2026-05</t>
        </is>
      </c>
      <c r="E152" s="47" t="inlineStr">
        <is>
          <t>High Mast 15 M PCD550+วงแหวน 6</t>
        </is>
      </c>
      <c r="F152" s="47" t="inlineStr">
        <is>
          <t>LKT. 2026-05 -PL849</t>
        </is>
      </c>
      <c r="G152" s="78" t="n">
        <v>227950</v>
      </c>
      <c r="H152" s="78" t="n">
        <v>15956.5</v>
      </c>
      <c r="I152" s="78" t="n">
        <v>243906.5</v>
      </c>
      <c r="J152" s="46" t="inlineStr">
        <is>
          <t>⚪ รอผล</t>
        </is>
      </c>
      <c r="K152" s="46" t="inlineStr">
        <is>
          <t>—</t>
        </is>
      </c>
      <c r="L152" s="46" t="inlineStr">
        <is>
          <t>ต่ำ</t>
        </is>
      </c>
      <c r="M152" s="46" t="inlineStr">
        <is>
          <t>—</t>
        </is>
      </c>
      <c r="N152" s="46" t="inlineStr">
        <is>
          <t>⚪ รอสอบถาม</t>
        </is>
      </c>
    </row>
    <row r="153" ht="14" customHeight="1">
      <c r="A153" s="46" t="n">
        <v>149</v>
      </c>
      <c r="B153" s="46" t="inlineStr">
        <is>
          <t>PL878</t>
        </is>
      </c>
      <c r="C153" s="47" t="inlineStr">
        <is>
          <t>โชคเพิ่มพูน</t>
        </is>
      </c>
      <c r="D153" s="46" t="inlineStr">
        <is>
          <t>2026-05</t>
        </is>
      </c>
      <c r="E153" s="47" t="inlineStr">
        <is>
          <t xml:space="preserve">High mast Pole 15 M วงแหวน 8 </t>
        </is>
      </c>
      <c r="F153" s="47" t="inlineStr">
        <is>
          <t>LKT. 2026-05 -PL878</t>
        </is>
      </c>
      <c r="G153" s="78" t="n">
        <v>221186</v>
      </c>
      <c r="H153" s="78" t="n">
        <v>15483.02</v>
      </c>
      <c r="I153" s="78" t="n">
        <v>236669.02</v>
      </c>
      <c r="J153" s="46" t="inlineStr">
        <is>
          <t>⚪ รอผล</t>
        </is>
      </c>
      <c r="K153" s="46" t="inlineStr">
        <is>
          <t>—</t>
        </is>
      </c>
      <c r="L153" s="46" t="inlineStr">
        <is>
          <t>ต่ำ</t>
        </is>
      </c>
      <c r="M153" s="46" t="inlineStr">
        <is>
          <t>—</t>
        </is>
      </c>
      <c r="N153" s="46" t="inlineStr">
        <is>
          <t>⚪ รอสอบถาม</t>
        </is>
      </c>
    </row>
    <row r="154" ht="14" customHeight="1">
      <c r="A154" s="46" t="n">
        <v>150</v>
      </c>
      <c r="B154" s="46" t="inlineStr">
        <is>
          <t>PL945</t>
        </is>
      </c>
      <c r="C154" s="47" t="inlineStr">
        <is>
          <t>บริษัท แอสเซนท คอรปอเรชั่น จำกัด</t>
        </is>
      </c>
      <c r="D154" s="46" t="inlineStr">
        <is>
          <t>2026-06</t>
        </is>
      </c>
      <c r="E154" s="47" t="inlineStr">
        <is>
          <t>High Mast 15M วงแหวน 6 โคม</t>
        </is>
      </c>
      <c r="F154" s="47" t="inlineStr">
        <is>
          <t>LKT. 2026-06 -PL945</t>
        </is>
      </c>
      <c r="G154" s="78" t="n">
        <v>221186</v>
      </c>
      <c r="H154" s="78" t="n">
        <v>15483.02</v>
      </c>
      <c r="I154" s="78" t="n">
        <v>236669.02</v>
      </c>
      <c r="J154" s="46" t="inlineStr">
        <is>
          <t>⚪ รอผล</t>
        </is>
      </c>
      <c r="K154" s="46" t="inlineStr">
        <is>
          <t>—</t>
        </is>
      </c>
      <c r="L154" s="46" t="inlineStr">
        <is>
          <t>ต่ำ</t>
        </is>
      </c>
      <c r="M154" s="46" t="inlineStr">
        <is>
          <t>—</t>
        </is>
      </c>
      <c r="N154" s="46" t="inlineStr">
        <is>
          <t>⚪ รอสอบถาม</t>
        </is>
      </c>
    </row>
    <row r="155" ht="14" customHeight="1">
      <c r="A155" s="46" t="n">
        <v>151</v>
      </c>
      <c r="B155" s="46" t="inlineStr">
        <is>
          <t>PL823</t>
        </is>
      </c>
      <c r="C155" s="47" t="inlineStr">
        <is>
          <t>บริษัท ไซเบอร์ลิ้ง(ไทยแลนด์) จำกัด</t>
        </is>
      </c>
      <c r="D155" s="46" t="inlineStr">
        <is>
          <t>2026-04</t>
        </is>
      </c>
      <c r="E155" s="47" t="inlineStr">
        <is>
          <t>เสา post top 6M</t>
        </is>
      </c>
      <c r="F155" s="47" t="inlineStr">
        <is>
          <t>LKT. 2026-04-PL823</t>
        </is>
      </c>
      <c r="G155" s="78" t="n">
        <v>220892</v>
      </c>
      <c r="H155" s="78" t="n">
        <v>15462.44</v>
      </c>
      <c r="I155" s="78" t="n">
        <v>236354.44</v>
      </c>
      <c r="J155" s="46" t="inlineStr">
        <is>
          <t>⚪ รอผล</t>
        </is>
      </c>
      <c r="K155" s="46" t="inlineStr">
        <is>
          <t>—</t>
        </is>
      </c>
      <c r="L155" s="46" t="inlineStr">
        <is>
          <t>ต่ำ</t>
        </is>
      </c>
      <c r="M155" s="46" t="inlineStr">
        <is>
          <t>—</t>
        </is>
      </c>
      <c r="N155" s="46" t="inlineStr">
        <is>
          <t>⚪ รอสอบถาม</t>
        </is>
      </c>
    </row>
    <row r="156" ht="14" customHeight="1">
      <c r="A156" s="46" t="n">
        <v>152</v>
      </c>
      <c r="B156" s="46" t="inlineStr">
        <is>
          <t>PL752</t>
        </is>
      </c>
      <c r="C156" s="47" t="inlineStr">
        <is>
          <t>ปี๊มน้ำมัน บริษัท อินเตอร์ เฟอร์นิคอน จำกัด ( สำนักงานใหญ่)</t>
        </is>
      </c>
      <c r="D156" s="46" t="inlineStr">
        <is>
          <t>2026-03</t>
        </is>
      </c>
      <c r="E156" s="47" t="inlineStr">
        <is>
          <t>เสาสี่เหลี่ยม 100x100x2.3t H6M</t>
        </is>
      </c>
      <c r="F156" s="47" t="inlineStr">
        <is>
          <t>LKT. 2026-03-752</t>
        </is>
      </c>
      <c r="G156" s="78" t="n">
        <v>216750</v>
      </c>
      <c r="H156" s="78" t="n">
        <v>15172.5</v>
      </c>
      <c r="I156" s="78" t="n">
        <v>231922.5</v>
      </c>
      <c r="J156" s="46" t="inlineStr">
        <is>
          <t>⚪ รอผล</t>
        </is>
      </c>
      <c r="K156" s="46" t="inlineStr">
        <is>
          <t>—</t>
        </is>
      </c>
      <c r="L156" s="46" t="inlineStr">
        <is>
          <t>ต่ำ</t>
        </is>
      </c>
      <c r="M156" s="46" t="inlineStr">
        <is>
          <t>—</t>
        </is>
      </c>
      <c r="N156" s="46" t="inlineStr">
        <is>
          <t>⚪ รอสอบถาม</t>
        </is>
      </c>
    </row>
    <row r="157" ht="14" customHeight="1">
      <c r="A157" s="46" t="n">
        <v>153</v>
      </c>
      <c r="B157" s="46" t="inlineStr">
        <is>
          <t>PL812</t>
        </is>
      </c>
      <c r="C157" s="47" t="inlineStr">
        <is>
          <t>บ.เอฟดี</t>
        </is>
      </c>
      <c r="D157" s="46" t="inlineStr">
        <is>
          <t>2026-04</t>
        </is>
      </c>
      <c r="E157" s="47" t="inlineStr">
        <is>
          <t>Pole With Bracket 6M-T4-TR</t>
        </is>
      </c>
      <c r="F157" s="47" t="inlineStr">
        <is>
          <t>LKT. 2026-04 -PL812</t>
        </is>
      </c>
      <c r="G157" s="78" t="n">
        <v>216090</v>
      </c>
      <c r="H157" s="78" t="n">
        <v>15126.3</v>
      </c>
      <c r="I157" s="78" t="n">
        <v>231216.3</v>
      </c>
      <c r="J157" s="46" t="inlineStr">
        <is>
          <t>⚪ รอผล</t>
        </is>
      </c>
      <c r="K157" s="46" t="inlineStr">
        <is>
          <t>—</t>
        </is>
      </c>
      <c r="L157" s="46" t="inlineStr">
        <is>
          <t>ต่ำ</t>
        </is>
      </c>
      <c r="M157" s="46" t="inlineStr">
        <is>
          <t>—</t>
        </is>
      </c>
      <c r="N157" s="46" t="inlineStr">
        <is>
          <t>⚪ รอสอบถาม</t>
        </is>
      </c>
    </row>
    <row r="158" ht="14" customHeight="1">
      <c r="A158" s="46" t="n">
        <v>154</v>
      </c>
      <c r="B158" s="46" t="inlineStr">
        <is>
          <t>PL737</t>
        </is>
      </c>
      <c r="C158" s="47" t="inlineStr">
        <is>
          <t>บ. โซล่าร์วัน คอนสตรัคชั่น</t>
        </is>
      </c>
      <c r="D158" s="46" t="inlineStr">
        <is>
          <t>2026-02</t>
        </is>
      </c>
      <c r="E158" s="47" t="inlineStr">
        <is>
          <t>Pole With Bracket 6M-T4-TR</t>
        </is>
      </c>
      <c r="F158" s="47" t="inlineStr">
        <is>
          <t>LKT. 2026-02 -PL737</t>
        </is>
      </c>
      <c r="G158" s="78" t="n">
        <v>215355</v>
      </c>
      <c r="H158" s="78" t="n">
        <v>15074.85</v>
      </c>
      <c r="I158" s="78" t="n">
        <v>230429.85</v>
      </c>
      <c r="J158" s="46" t="inlineStr">
        <is>
          <t>⚪ รอผล</t>
        </is>
      </c>
      <c r="K158" s="46" t="inlineStr">
        <is>
          <t>—</t>
        </is>
      </c>
      <c r="L158" s="46" t="inlineStr">
        <is>
          <t>ต่ำ</t>
        </is>
      </c>
      <c r="M158" s="46" t="inlineStr">
        <is>
          <t>—</t>
        </is>
      </c>
      <c r="N158" s="46" t="inlineStr">
        <is>
          <t>⚪ รอสอบถาม</t>
        </is>
      </c>
    </row>
    <row r="159" ht="14" customHeight="1">
      <c r="A159" s="46" t="n">
        <v>155</v>
      </c>
      <c r="B159" s="46" t="inlineStr">
        <is>
          <t>PL809</t>
        </is>
      </c>
      <c r="C159" s="47" t="inlineStr">
        <is>
          <t>บริษัท เบสท์-แพค คอนกรีต จำกัด -Update  ราคาไฮแมส</t>
        </is>
      </c>
      <c r="D159" s="46" t="inlineStr">
        <is>
          <t>2026-04</t>
        </is>
      </c>
      <c r="E159" s="47" t="inlineStr">
        <is>
          <t>อื่นๆ</t>
        </is>
      </c>
      <c r="F159" s="47" t="inlineStr">
        <is>
          <t>LKT. 2026-04 -PL809</t>
        </is>
      </c>
      <c r="G159" s="78" t="n">
        <v>212850</v>
      </c>
      <c r="H159" s="78" t="n">
        <v>14899.5</v>
      </c>
      <c r="I159" s="78" t="n">
        <v>227749.5</v>
      </c>
      <c r="J159" s="46" t="inlineStr">
        <is>
          <t>⚪ รอผล</t>
        </is>
      </c>
      <c r="K159" s="46" t="inlineStr">
        <is>
          <t>—</t>
        </is>
      </c>
      <c r="L159" s="46" t="inlineStr">
        <is>
          <t>ต่ำ</t>
        </is>
      </c>
      <c r="M159" s="46" t="inlineStr">
        <is>
          <t>—</t>
        </is>
      </c>
      <c r="N159" s="46" t="inlineStr">
        <is>
          <t>⚪ รอสอบถาม</t>
        </is>
      </c>
    </row>
    <row r="160" ht="14" customHeight="1">
      <c r="A160" s="46" t="n">
        <v>156</v>
      </c>
      <c r="B160" s="46" t="inlineStr">
        <is>
          <t>PL928</t>
        </is>
      </c>
      <c r="C160" s="47" t="inlineStr">
        <is>
          <t>เอเชีย ซินเทค</t>
        </is>
      </c>
      <c r="D160" s="46" t="inlineStr">
        <is>
          <t>2026-06</t>
        </is>
      </c>
      <c r="E160" s="47" t="inlineStr">
        <is>
          <t>Pole With Bracket 6M-T4-TR</t>
        </is>
      </c>
      <c r="F160" s="47" t="inlineStr">
        <is>
          <t>LKT. 2026-06 -PL927</t>
        </is>
      </c>
      <c r="G160" s="78" t="n">
        <v>207524.8</v>
      </c>
      <c r="H160" s="78" t="n">
        <v>14526.74</v>
      </c>
      <c r="I160" s="78" t="n">
        <v>222051.54</v>
      </c>
      <c r="J160" s="46" t="inlineStr">
        <is>
          <t>⚪ รอผล</t>
        </is>
      </c>
      <c r="K160" s="46" t="inlineStr">
        <is>
          <t>—</t>
        </is>
      </c>
      <c r="L160" s="46" t="inlineStr">
        <is>
          <t>ต่ำ</t>
        </is>
      </c>
      <c r="M160" s="46" t="inlineStr">
        <is>
          <t>—</t>
        </is>
      </c>
      <c r="N160" s="46" t="inlineStr">
        <is>
          <t>⚪ รอสอบถาม</t>
        </is>
      </c>
    </row>
    <row r="161" ht="14" customHeight="1">
      <c r="A161" s="46" t="n">
        <v>157</v>
      </c>
      <c r="B161" s="46" t="inlineStr">
        <is>
          <t>PL934</t>
        </is>
      </c>
      <c r="C161" s="47" t="inlineStr">
        <is>
          <t>รุ่งนภาเพิ่มพูลทรัพย์</t>
        </is>
      </c>
      <c r="D161" s="46" t="inlineStr">
        <is>
          <t>2026-06</t>
        </is>
      </c>
      <c r="E161" s="47" t="inlineStr">
        <is>
          <t>High mast Pole 15 M วงแหวน 4 โ</t>
        </is>
      </c>
      <c r="F161" s="47" t="inlineStr">
        <is>
          <t>LKT. 2026-06 -PL934</t>
        </is>
      </c>
      <c r="G161" s="78" t="n">
        <v>203252</v>
      </c>
      <c r="H161" s="78" t="n">
        <v>14227.64</v>
      </c>
      <c r="I161" s="78" t="n">
        <v>217479.64</v>
      </c>
      <c r="J161" s="46" t="inlineStr">
        <is>
          <t>⚪ รอผล</t>
        </is>
      </c>
      <c r="K161" s="46" t="inlineStr">
        <is>
          <t>—</t>
        </is>
      </c>
      <c r="L161" s="46" t="inlineStr">
        <is>
          <t>ต่ำ</t>
        </is>
      </c>
      <c r="M161" s="46" t="inlineStr">
        <is>
          <t>—</t>
        </is>
      </c>
      <c r="N161" s="46" t="inlineStr">
        <is>
          <t>⚪ รอสอบถาม</t>
        </is>
      </c>
    </row>
    <row r="162" ht="14" customHeight="1">
      <c r="A162" s="46" t="n">
        <v>158</v>
      </c>
      <c r="B162" s="46" t="inlineStr">
        <is>
          <t>PL609</t>
        </is>
      </c>
      <c r="C162" s="47" t="inlineStr">
        <is>
          <t>PT ชาติดกิติออย</t>
        </is>
      </c>
      <c r="D162" s="46" t="inlineStr">
        <is>
          <t>2026-01</t>
        </is>
      </c>
      <c r="E162" s="47" t="inlineStr">
        <is>
          <t>LED Streetlight 150W 5700K 19,</t>
        </is>
      </c>
      <c r="F162" s="47" t="inlineStr">
        <is>
          <t>LKT. 2026-01 -PL609</t>
        </is>
      </c>
      <c r="G162" s="78" t="n">
        <v>203000</v>
      </c>
      <c r="H162" s="78" t="n">
        <v>14210</v>
      </c>
      <c r="I162" s="78" t="n">
        <v>217210</v>
      </c>
      <c r="J162" s="46" t="inlineStr">
        <is>
          <t>⚪ รอผล</t>
        </is>
      </c>
      <c r="K162" s="46" t="inlineStr">
        <is>
          <t>—</t>
        </is>
      </c>
      <c r="L162" s="46" t="inlineStr">
        <is>
          <t>ต่ำ</t>
        </is>
      </c>
      <c r="M162" s="46" t="inlineStr">
        <is>
          <t>—</t>
        </is>
      </c>
      <c r="N162" s="46" t="inlineStr">
        <is>
          <t>⚪ รอสอบถาม</t>
        </is>
      </c>
    </row>
    <row r="163" ht="14" customHeight="1">
      <c r="A163" s="46" t="n">
        <v>159</v>
      </c>
      <c r="B163" s="46" t="inlineStr">
        <is>
          <t>PL773</t>
        </is>
      </c>
      <c r="C163" s="47" t="inlineStr">
        <is>
          <t>ป.ธีรวุฒิ</t>
        </is>
      </c>
      <c r="D163" s="46" t="inlineStr">
        <is>
          <t>2026-03</t>
        </is>
      </c>
      <c r="E163" s="47" t="inlineStr">
        <is>
          <t xml:space="preserve">High mast Pole 15 M วงแหวน 6 </t>
        </is>
      </c>
      <c r="F163" s="47" t="inlineStr">
        <is>
          <t>LKT. 2026-03 -PL773</t>
        </is>
      </c>
      <c r="G163" s="78" t="n">
        <v>198548</v>
      </c>
      <c r="H163" s="78" t="n">
        <v>13898.36</v>
      </c>
      <c r="I163" s="78" t="n">
        <v>212446.36</v>
      </c>
      <c r="J163" s="46" t="inlineStr">
        <is>
          <t>⚪ รอผล</t>
        </is>
      </c>
      <c r="K163" s="46" t="inlineStr">
        <is>
          <t>—</t>
        </is>
      </c>
      <c r="L163" s="46" t="inlineStr">
        <is>
          <t>ต่ำ</t>
        </is>
      </c>
      <c r="M163" s="46" t="inlineStr">
        <is>
          <t>—</t>
        </is>
      </c>
      <c r="N163" s="46" t="inlineStr">
        <is>
          <t>⚪ รอสอบถาม</t>
        </is>
      </c>
    </row>
    <row r="164" ht="14" customHeight="1">
      <c r="A164" s="46" t="n">
        <v>160</v>
      </c>
      <c r="B164" s="46" t="inlineStr">
        <is>
          <t>PL759</t>
        </is>
      </c>
      <c r="C164" s="47" t="inlineStr">
        <is>
          <t>บริษัท เบสท์-แพค คอนกรีต จำกัด -Dearler</t>
        </is>
      </c>
      <c r="D164" s="46" t="inlineStr">
        <is>
          <t>2026-03</t>
        </is>
      </c>
      <c r="E164" s="47" t="inlineStr">
        <is>
          <t>อื่นๆ</t>
        </is>
      </c>
      <c r="F164" s="47" t="inlineStr">
        <is>
          <t>LKT. 2026-03 -PL759</t>
        </is>
      </c>
      <c r="G164" s="78" t="n">
        <v>193500</v>
      </c>
      <c r="H164" s="78" t="n">
        <v>13545</v>
      </c>
      <c r="I164" s="78" t="n">
        <v>207045</v>
      </c>
      <c r="J164" s="46" t="inlineStr">
        <is>
          <t>⚪ รอผล</t>
        </is>
      </c>
      <c r="K164" s="46" t="inlineStr">
        <is>
          <t>—</t>
        </is>
      </c>
      <c r="L164" s="46" t="inlineStr">
        <is>
          <t>ต่ำ</t>
        </is>
      </c>
      <c r="M164" s="46" t="inlineStr">
        <is>
          <t>—</t>
        </is>
      </c>
      <c r="N164" s="46" t="inlineStr">
        <is>
          <t>⚪ รอสอบถาม</t>
        </is>
      </c>
    </row>
    <row r="165" ht="14" customHeight="1">
      <c r="A165" s="46" t="n">
        <v>161</v>
      </c>
      <c r="B165" s="46" t="inlineStr">
        <is>
          <t>PL911</t>
        </is>
      </c>
      <c r="C165" s="47" t="inlineStr">
        <is>
          <t>ZETA-9 Cloud / บริษัท คาแนล วัน จำกัด</t>
        </is>
      </c>
      <c r="D165" s="46" t="inlineStr">
        <is>
          <t>2026-05</t>
        </is>
      </c>
      <c r="E165" s="47" t="inlineStr">
        <is>
          <t>อื่นๆ</t>
        </is>
      </c>
      <c r="F165" s="47" t="inlineStr">
        <is>
          <t>LKT. 2026-05 -PL911</t>
        </is>
      </c>
      <c r="G165" s="78" t="n">
        <v>193050</v>
      </c>
      <c r="H165" s="78" t="n">
        <v>13513.5</v>
      </c>
      <c r="I165" s="78" t="n">
        <v>206563.5</v>
      </c>
      <c r="J165" s="46" t="inlineStr">
        <is>
          <t>⚪ รอผล</t>
        </is>
      </c>
      <c r="K165" s="46" t="inlineStr">
        <is>
          <t>—</t>
        </is>
      </c>
      <c r="L165" s="46" t="inlineStr">
        <is>
          <t>ต่ำ</t>
        </is>
      </c>
      <c r="M165" s="46" t="inlineStr">
        <is>
          <t>ZETA-iOT</t>
        </is>
      </c>
      <c r="N165" s="46" t="inlineStr">
        <is>
          <t>⚪ รอสอบถาม</t>
        </is>
      </c>
    </row>
    <row r="166" ht="14" customHeight="1">
      <c r="A166" s="46" t="n">
        <v>162</v>
      </c>
      <c r="B166" s="46" t="inlineStr">
        <is>
          <t>PL614</t>
        </is>
      </c>
      <c r="C166" s="47" t="inlineStr">
        <is>
          <t>โปรทูสเปรช</t>
        </is>
      </c>
      <c r="D166" s="46" t="inlineStr">
        <is>
          <t>2026-01</t>
        </is>
      </c>
      <c r="E166" s="47" t="inlineStr">
        <is>
          <t>Pole With Bracket 9M-T4-TR</t>
        </is>
      </c>
      <c r="F166" s="47" t="inlineStr">
        <is>
          <t>LKT. 2026-01 -PL614</t>
        </is>
      </c>
      <c r="G166" s="78" t="n">
        <v>191884</v>
      </c>
      <c r="H166" s="78" t="n">
        <v>13431.88</v>
      </c>
      <c r="I166" s="78" t="n">
        <v>205315.88</v>
      </c>
      <c r="J166" s="46" t="inlineStr">
        <is>
          <t>⚪ รอผล</t>
        </is>
      </c>
      <c r="K166" s="46" t="inlineStr">
        <is>
          <t>—</t>
        </is>
      </c>
      <c r="L166" s="46" t="inlineStr">
        <is>
          <t>ต่ำ</t>
        </is>
      </c>
      <c r="M166" s="46" t="inlineStr">
        <is>
          <t>—</t>
        </is>
      </c>
      <c r="N166" s="46" t="inlineStr">
        <is>
          <t>⚪ รอสอบถาม</t>
        </is>
      </c>
    </row>
    <row r="167" ht="14" customHeight="1">
      <c r="A167" s="46" t="n">
        <v>163</v>
      </c>
      <c r="B167" s="46" t="inlineStr">
        <is>
          <t>PL677</t>
        </is>
      </c>
      <c r="C167" s="47" t="inlineStr">
        <is>
          <t>ฐกฤต ดีเวลลอปเม้นท์</t>
        </is>
      </c>
      <c r="D167" s="46" t="inlineStr">
        <is>
          <t>2026-01</t>
        </is>
      </c>
      <c r="E167" s="47" t="inlineStr">
        <is>
          <t>BYD239P LED130/CW PSU GM G2 LE</t>
        </is>
      </c>
      <c r="F167" s="47" t="inlineStr">
        <is>
          <t>LKT. 2026-01 -PL677</t>
        </is>
      </c>
      <c r="G167" s="78" t="n">
        <v>190708</v>
      </c>
      <c r="H167" s="78" t="n">
        <v>13349.56</v>
      </c>
      <c r="I167" s="78" t="n">
        <v>204057.56</v>
      </c>
      <c r="J167" s="46" t="inlineStr">
        <is>
          <t>⚪ รอผล</t>
        </is>
      </c>
      <c r="K167" s="46" t="inlineStr">
        <is>
          <t>—</t>
        </is>
      </c>
      <c r="L167" s="46" t="inlineStr">
        <is>
          <t>ต่ำ</t>
        </is>
      </c>
      <c r="M167" s="46" t="inlineStr">
        <is>
          <t>—</t>
        </is>
      </c>
      <c r="N167" s="46" t="inlineStr">
        <is>
          <t>⚪ รอสอบถาม</t>
        </is>
      </c>
    </row>
    <row r="168" ht="14" customHeight="1">
      <c r="A168" s="46" t="n">
        <v>164</v>
      </c>
      <c r="B168" s="46" t="inlineStr">
        <is>
          <t>PL865</t>
        </is>
      </c>
      <c r="C168" s="47" t="inlineStr">
        <is>
          <t>นพพร สุมงคล  2.5</t>
        </is>
      </c>
      <c r="D168" s="46" t="inlineStr">
        <is>
          <t>2026-05</t>
        </is>
      </c>
      <c r="E168" s="47" t="inlineStr">
        <is>
          <t>เสาการดเรล OD100 H2.0M</t>
        </is>
      </c>
      <c r="F168" s="47" t="inlineStr">
        <is>
          <t>LKT. 2026-05-PL865</t>
        </is>
      </c>
      <c r="G168" s="78" t="n">
        <v>190686.44</v>
      </c>
      <c r="H168" s="78" t="n">
        <v>13348.05</v>
      </c>
      <c r="I168" s="78" t="n">
        <v>204034.49</v>
      </c>
      <c r="J168" s="46" t="inlineStr">
        <is>
          <t>⚪ รอผล</t>
        </is>
      </c>
      <c r="K168" s="46" t="inlineStr">
        <is>
          <t>—</t>
        </is>
      </c>
      <c r="L168" s="46" t="inlineStr">
        <is>
          <t>ต่ำ</t>
        </is>
      </c>
      <c r="M168" s="46" t="inlineStr">
        <is>
          <t>—</t>
        </is>
      </c>
      <c r="N168" s="46" t="inlineStr">
        <is>
          <t>⚪ รอสอบถาม</t>
        </is>
      </c>
    </row>
    <row r="169" ht="14" customHeight="1">
      <c r="A169" s="46" t="n">
        <v>165</v>
      </c>
      <c r="B169" s="46" t="inlineStr">
        <is>
          <t>PL678</t>
        </is>
      </c>
      <c r="C169" s="47" t="inlineStr">
        <is>
          <t>เจแอล มอเตอร์</t>
        </is>
      </c>
      <c r="D169" s="46" t="inlineStr">
        <is>
          <t>2026-01</t>
        </is>
      </c>
      <c r="E169" s="47" t="inlineStr">
        <is>
          <t>HIGH MAST POLE 20M วงแหวน 8 ดว</t>
        </is>
      </c>
      <c r="F169" s="47" t="inlineStr">
        <is>
          <t>LKT. 2026-01 -PL678</t>
        </is>
      </c>
      <c r="G169" s="78" t="n">
        <v>187503.4</v>
      </c>
      <c r="H169" s="78" t="n">
        <v>13125.24</v>
      </c>
      <c r="I169" s="78" t="n">
        <v>200628.64</v>
      </c>
      <c r="J169" s="46" t="inlineStr">
        <is>
          <t>⚪ รอผล</t>
        </is>
      </c>
      <c r="K169" s="46" t="inlineStr">
        <is>
          <t>—</t>
        </is>
      </c>
      <c r="L169" s="46" t="inlineStr">
        <is>
          <t>ต่ำ</t>
        </is>
      </c>
      <c r="M169" s="46" t="inlineStr">
        <is>
          <t>—</t>
        </is>
      </c>
      <c r="N169" s="46" t="inlineStr">
        <is>
          <t>⚪ รอสอบถาม</t>
        </is>
      </c>
    </row>
    <row r="170" ht="14" customHeight="1">
      <c r="A170" s="46" t="n">
        <v>166</v>
      </c>
      <c r="B170" s="46" t="inlineStr">
        <is>
          <t>PL732</t>
        </is>
      </c>
      <c r="C170" s="47" t="inlineStr">
        <is>
          <t>สุชาบดี</t>
        </is>
      </c>
      <c r="D170" s="46" t="inlineStr">
        <is>
          <t>2026-02</t>
        </is>
      </c>
      <c r="E170" s="47" t="inlineStr">
        <is>
          <t>อื่นๆ</t>
        </is>
      </c>
      <c r="F170" s="47" t="inlineStr">
        <is>
          <t>LKT. 2026-02-732</t>
        </is>
      </c>
      <c r="G170" s="78" t="n">
        <v>184426.1</v>
      </c>
      <c r="H170" s="78" t="n">
        <v>12909.83</v>
      </c>
      <c r="I170" s="78" t="n">
        <v>197335.93</v>
      </c>
      <c r="J170" s="46" t="inlineStr">
        <is>
          <t>⚪ รอผล</t>
        </is>
      </c>
      <c r="K170" s="46" t="inlineStr">
        <is>
          <t>—</t>
        </is>
      </c>
      <c r="L170" s="46" t="inlineStr">
        <is>
          <t>ต่ำ</t>
        </is>
      </c>
      <c r="M170" s="46" t="inlineStr">
        <is>
          <t>—</t>
        </is>
      </c>
      <c r="N170" s="46" t="inlineStr">
        <is>
          <t>⚪ รอสอบถาม</t>
        </is>
      </c>
    </row>
    <row r="171" ht="14" customHeight="1">
      <c r="A171" s="46" t="n">
        <v>167</v>
      </c>
      <c r="B171" s="46" t="inlineStr">
        <is>
          <t>PL922</t>
        </is>
      </c>
      <c r="C171" s="47" t="inlineStr">
        <is>
          <t>พรุดินนา ดีไซน์</t>
        </is>
      </c>
      <c r="D171" s="46" t="inlineStr">
        <is>
          <t>2026-06</t>
        </is>
      </c>
      <c r="E171" s="47" t="inlineStr">
        <is>
          <t>เสาการดเรล OD100 H2.0M</t>
        </is>
      </c>
      <c r="F171" s="47" t="inlineStr">
        <is>
          <t>LKT. 2026-06-PL922</t>
        </is>
      </c>
      <c r="G171" s="78" t="n">
        <v>182056.39</v>
      </c>
      <c r="H171" s="78" t="n">
        <v>12743.95</v>
      </c>
      <c r="I171" s="78" t="n">
        <v>194800.34</v>
      </c>
      <c r="J171" s="46" t="inlineStr">
        <is>
          <t>⚪ รอผล</t>
        </is>
      </c>
      <c r="K171" s="46" t="inlineStr">
        <is>
          <t>—</t>
        </is>
      </c>
      <c r="L171" s="46" t="inlineStr">
        <is>
          <t>ต่ำ</t>
        </is>
      </c>
      <c r="M171" s="46" t="inlineStr">
        <is>
          <t>—</t>
        </is>
      </c>
      <c r="N171" s="46" t="inlineStr">
        <is>
          <t>⚪ รอสอบถาม</t>
        </is>
      </c>
    </row>
    <row r="172" ht="14" customHeight="1">
      <c r="A172" s="46" t="n">
        <v>168</v>
      </c>
      <c r="B172" s="46" t="inlineStr">
        <is>
          <t>PL778</t>
        </is>
      </c>
      <c r="C172" s="47" t="inlineStr">
        <is>
          <t>ขนมชมพู</t>
        </is>
      </c>
      <c r="D172" s="46" t="inlineStr">
        <is>
          <t>2026-03</t>
        </is>
      </c>
      <c r="E172" s="47" t="inlineStr">
        <is>
          <t>High mast Pole 15 M วงแหวน 8 โ</t>
        </is>
      </c>
      <c r="F172" s="47" t="inlineStr">
        <is>
          <t>LKT. 2026-03 -PL778</t>
        </is>
      </c>
      <c r="G172" s="78" t="n">
        <v>179830</v>
      </c>
      <c r="H172" s="78" t="n">
        <v>12588.1</v>
      </c>
      <c r="I172" s="78" t="n">
        <v>192418.1</v>
      </c>
      <c r="J172" s="46" t="inlineStr">
        <is>
          <t>⚪ รอผล</t>
        </is>
      </c>
      <c r="K172" s="46" t="inlineStr">
        <is>
          <t>—</t>
        </is>
      </c>
      <c r="L172" s="46" t="inlineStr">
        <is>
          <t>ต่ำ</t>
        </is>
      </c>
      <c r="M172" s="46" t="inlineStr">
        <is>
          <t>—</t>
        </is>
      </c>
      <c r="N172" s="46" t="inlineStr">
        <is>
          <t>⚪ รอสอบถาม</t>
        </is>
      </c>
    </row>
    <row r="173" ht="14" customHeight="1">
      <c r="A173" s="46" t="n">
        <v>169</v>
      </c>
      <c r="B173" s="46" t="inlineStr">
        <is>
          <t>PL879</t>
        </is>
      </c>
      <c r="C173" s="47" t="inlineStr">
        <is>
          <t>วิภาสกฤต บำรุงพืช</t>
        </is>
      </c>
      <c r="D173" s="46" t="inlineStr">
        <is>
          <t>2026-05</t>
        </is>
      </c>
      <c r="E173" s="47" t="inlineStr">
        <is>
          <t>เสาการดเรล OD100 H2.0M</t>
        </is>
      </c>
      <c r="F173" s="47" t="inlineStr">
        <is>
          <t>LKT. 2026-05-PL879</t>
        </is>
      </c>
      <c r="G173" s="78" t="n">
        <v>178626.56</v>
      </c>
      <c r="H173" s="78" t="n">
        <v>12503.86</v>
      </c>
      <c r="I173" s="78" t="n">
        <v>191130.42</v>
      </c>
      <c r="J173" s="46" t="inlineStr">
        <is>
          <t>⚪ รอผล</t>
        </is>
      </c>
      <c r="K173" s="46" t="inlineStr">
        <is>
          <t>—</t>
        </is>
      </c>
      <c r="L173" s="46" t="inlineStr">
        <is>
          <t>ต่ำ</t>
        </is>
      </c>
      <c r="M173" s="46" t="inlineStr">
        <is>
          <t>—</t>
        </is>
      </c>
      <c r="N173" s="46" t="inlineStr">
        <is>
          <t>⚪ รอสอบถาม</t>
        </is>
      </c>
    </row>
    <row r="174" ht="14" customHeight="1">
      <c r="A174" s="46" t="n">
        <v>170</v>
      </c>
      <c r="B174" s="46" t="inlineStr">
        <is>
          <t>PL703</t>
        </is>
      </c>
      <c r="C174" s="47" t="inlineStr">
        <is>
          <t>ป.ประสงค์ทรัพย์</t>
        </is>
      </c>
      <c r="D174" s="46" t="inlineStr">
        <is>
          <t>2026-02</t>
        </is>
      </c>
      <c r="E174" s="47" t="inlineStr">
        <is>
          <t>Pole With Bracket 11M-T4-TR</t>
        </is>
      </c>
      <c r="F174" s="47" t="inlineStr">
        <is>
          <t>LKT. 2026-02 -PL703</t>
        </is>
      </c>
      <c r="G174" s="78" t="n">
        <v>177870</v>
      </c>
      <c r="H174" s="78" t="n">
        <v>12450.9</v>
      </c>
      <c r="I174" s="78" t="n">
        <v>190320.9</v>
      </c>
      <c r="J174" s="46" t="inlineStr">
        <is>
          <t>⚪ รอผล</t>
        </is>
      </c>
      <c r="K174" s="46" t="inlineStr">
        <is>
          <t>—</t>
        </is>
      </c>
      <c r="L174" s="46" t="inlineStr">
        <is>
          <t>ต่ำ</t>
        </is>
      </c>
      <c r="M174" s="46" t="inlineStr">
        <is>
          <t>—</t>
        </is>
      </c>
      <c r="N174" s="46" t="inlineStr">
        <is>
          <t>⚪ รอสอบถาม</t>
        </is>
      </c>
    </row>
    <row r="175" ht="14" customHeight="1">
      <c r="A175" s="46" t="n">
        <v>171</v>
      </c>
      <c r="B175" s="46" t="inlineStr">
        <is>
          <t>PL903</t>
        </is>
      </c>
      <c r="C175" s="47" t="inlineStr">
        <is>
          <t>ทูซิส ซัพพลาย</t>
        </is>
      </c>
      <c r="D175" s="46" t="inlineStr">
        <is>
          <t>2026-05</t>
        </is>
      </c>
      <c r="E175" s="47" t="inlineStr">
        <is>
          <t>เสาการดเรล OD100 H2.0M</t>
        </is>
      </c>
      <c r="F175" s="47" t="inlineStr">
        <is>
          <t>LKT. 2026-05-PL903</t>
        </is>
      </c>
      <c r="G175" s="78" t="n">
        <v>176946.84</v>
      </c>
      <c r="H175" s="78" t="n">
        <v>12386.28</v>
      </c>
      <c r="I175" s="78" t="n">
        <v>189333.12</v>
      </c>
      <c r="J175" s="46" t="inlineStr">
        <is>
          <t>⚪ รอผล</t>
        </is>
      </c>
      <c r="K175" s="46" t="inlineStr">
        <is>
          <t>—</t>
        </is>
      </c>
      <c r="L175" s="46" t="inlineStr">
        <is>
          <t>ต่ำ</t>
        </is>
      </c>
      <c r="M175" s="46" t="inlineStr">
        <is>
          <t>—</t>
        </is>
      </c>
      <c r="N175" s="46" t="inlineStr">
        <is>
          <t>⚪ รอสอบถาม</t>
        </is>
      </c>
    </row>
    <row r="176" ht="14" customHeight="1">
      <c r="A176" s="46" t="n">
        <v>172</v>
      </c>
      <c r="B176" s="46" t="inlineStr">
        <is>
          <t>PL925</t>
        </is>
      </c>
      <c r="C176" s="47" t="inlineStr">
        <is>
          <t>หจก  อนุรักษ์วิศวกรรม2508</t>
        </is>
      </c>
      <c r="D176" s="46" t="inlineStr">
        <is>
          <t>2026-06</t>
        </is>
      </c>
      <c r="E176" s="47" t="inlineStr">
        <is>
          <t>อื่นๆ</t>
        </is>
      </c>
      <c r="F176" s="47" t="inlineStr">
        <is>
          <t>LKT. 2026-06-PL925</t>
        </is>
      </c>
      <c r="G176" s="78" t="n">
        <v>176134.54</v>
      </c>
      <c r="H176" s="78" t="n">
        <v>12329.42</v>
      </c>
      <c r="I176" s="78" t="n">
        <v>188463.96</v>
      </c>
      <c r="J176" s="46" t="inlineStr">
        <is>
          <t>⚪ รอผล</t>
        </is>
      </c>
      <c r="K176" s="46" t="inlineStr">
        <is>
          <t>—</t>
        </is>
      </c>
      <c r="L176" s="46" t="inlineStr">
        <is>
          <t>ต่ำ</t>
        </is>
      </c>
      <c r="M176" s="46" t="inlineStr">
        <is>
          <t>—</t>
        </is>
      </c>
      <c r="N176" s="46" t="inlineStr">
        <is>
          <t>⚪ รอสอบถาม</t>
        </is>
      </c>
    </row>
    <row r="177" ht="14" customHeight="1">
      <c r="A177" s="46" t="n">
        <v>173</v>
      </c>
      <c r="B177" s="46" t="inlineStr">
        <is>
          <t>PL884</t>
        </is>
      </c>
      <c r="C177" s="47" t="inlineStr">
        <is>
          <t>สรรค์สร้างสุข</t>
        </is>
      </c>
      <c r="D177" s="46" t="inlineStr">
        <is>
          <t>2026-05</t>
        </is>
      </c>
      <c r="E177" s="47" t="inlineStr">
        <is>
          <t>High mast Pole 20 M วงแหวน 8 โ</t>
        </is>
      </c>
      <c r="F177" s="47" t="inlineStr">
        <is>
          <t>LKT. 2026-05 -PL884</t>
        </is>
      </c>
      <c r="G177" s="78" t="n">
        <v>175714</v>
      </c>
      <c r="H177" s="78" t="n">
        <v>12299.98</v>
      </c>
      <c r="I177" s="78" t="n">
        <v>188013.98</v>
      </c>
      <c r="J177" s="46" t="inlineStr">
        <is>
          <t>⚪ รอผล</t>
        </is>
      </c>
      <c r="K177" s="46" t="inlineStr">
        <is>
          <t>—</t>
        </is>
      </c>
      <c r="L177" s="46" t="inlineStr">
        <is>
          <t>ต่ำ</t>
        </is>
      </c>
      <c r="M177" s="46" t="inlineStr">
        <is>
          <t>—</t>
        </is>
      </c>
      <c r="N177" s="46" t="inlineStr">
        <is>
          <t>⚪ รอสอบถาม</t>
        </is>
      </c>
    </row>
    <row r="178" ht="14" customHeight="1">
      <c r="A178" s="46" t="n">
        <v>174</v>
      </c>
      <c r="B178" s="46" t="inlineStr">
        <is>
          <t>PL629</t>
        </is>
      </c>
      <c r="C178" s="47" t="inlineStr">
        <is>
          <t>นราภรณ์</t>
        </is>
      </c>
      <c r="D178" s="46" t="inlineStr">
        <is>
          <t>2026-01</t>
        </is>
      </c>
      <c r="E178" s="47" t="inlineStr">
        <is>
          <t>Post Top Pole 8M-T4-TR</t>
        </is>
      </c>
      <c r="F178" s="47" t="inlineStr">
        <is>
          <t>LKT. 2026-01 -PL629</t>
        </is>
      </c>
      <c r="G178" s="78" t="n">
        <v>171083.5</v>
      </c>
      <c r="H178" s="78" t="n">
        <v>11975.85</v>
      </c>
      <c r="I178" s="78" t="n">
        <v>183059.35</v>
      </c>
      <c r="J178" s="46" t="inlineStr">
        <is>
          <t>⚪ รอผล</t>
        </is>
      </c>
      <c r="K178" s="46" t="inlineStr">
        <is>
          <t>—</t>
        </is>
      </c>
      <c r="L178" s="46" t="inlineStr">
        <is>
          <t>ต่ำ</t>
        </is>
      </c>
      <c r="M178" s="46" t="inlineStr">
        <is>
          <t>—</t>
        </is>
      </c>
      <c r="N178" s="46" t="inlineStr">
        <is>
          <t>⚪ รอสอบถาม</t>
        </is>
      </c>
    </row>
    <row r="179" ht="14" customHeight="1">
      <c r="A179" s="46" t="n">
        <v>175</v>
      </c>
      <c r="B179" s="46" t="inlineStr">
        <is>
          <t>PL764</t>
        </is>
      </c>
      <c r="C179" s="47" t="inlineStr">
        <is>
          <t>บ.ไทยรุ่งเรืองอุตสาหกรรม ไฮแมส</t>
        </is>
      </c>
      <c r="D179" s="46" t="inlineStr">
        <is>
          <t>2026-03</t>
        </is>
      </c>
      <c r="E179" s="47" t="inlineStr">
        <is>
          <t xml:space="preserve">High mast Pole 15 M วงแหวน 10 </t>
        </is>
      </c>
      <c r="F179" s="47" t="inlineStr">
        <is>
          <t>LKT. 2026-03 -PL764</t>
        </is>
      </c>
      <c r="G179" s="78" t="n">
        <v>169834</v>
      </c>
      <c r="H179" s="78" t="n">
        <v>11888.38</v>
      </c>
      <c r="I179" s="78" t="n">
        <v>181722.38</v>
      </c>
      <c r="J179" s="46" t="inlineStr">
        <is>
          <t>⚪ รอผล</t>
        </is>
      </c>
      <c r="K179" s="46" t="inlineStr">
        <is>
          <t>—</t>
        </is>
      </c>
      <c r="L179" s="46" t="inlineStr">
        <is>
          <t>ต่ำ</t>
        </is>
      </c>
      <c r="M179" s="46" t="inlineStr">
        <is>
          <t>—</t>
        </is>
      </c>
      <c r="N179" s="46" t="inlineStr">
        <is>
          <t>⚪ รอสอบถาม</t>
        </is>
      </c>
    </row>
    <row r="180" ht="14" customHeight="1">
      <c r="A180" s="46" t="n">
        <v>176</v>
      </c>
      <c r="B180" s="46" t="inlineStr">
        <is>
          <t>PL870</t>
        </is>
      </c>
      <c r="C180" s="47" t="inlineStr">
        <is>
          <t>หจก.  ไทยสวงนอุทุมพรก่อสร้าง</t>
        </is>
      </c>
      <c r="D180" s="46" t="inlineStr">
        <is>
          <t>2026-05</t>
        </is>
      </c>
      <c r="E180" s="47" t="inlineStr">
        <is>
          <t>Pole With Bracket 6M-T4-TR</t>
        </is>
      </c>
      <c r="F180" s="47" t="inlineStr">
        <is>
          <t>LKT. 2026-05 -PL870</t>
        </is>
      </c>
      <c r="G180" s="78" t="n">
        <v>169000</v>
      </c>
      <c r="H180" s="78" t="n">
        <v>11830</v>
      </c>
      <c r="I180" s="78" t="n">
        <v>180830</v>
      </c>
      <c r="J180" s="46" t="inlineStr">
        <is>
          <t>⚪ รอผล</t>
        </is>
      </c>
      <c r="K180" s="46" t="inlineStr">
        <is>
          <t>—</t>
        </is>
      </c>
      <c r="L180" s="46" t="inlineStr">
        <is>
          <t>ต่ำ</t>
        </is>
      </c>
      <c r="M180" s="46" t="inlineStr">
        <is>
          <t>—</t>
        </is>
      </c>
      <c r="N180" s="46" t="inlineStr">
        <is>
          <t>⚪ รอสอบถาม</t>
        </is>
      </c>
    </row>
    <row r="181" ht="14" customHeight="1">
      <c r="A181" s="46" t="n">
        <v>177</v>
      </c>
      <c r="B181" s="46" t="inlineStr">
        <is>
          <t>PL706</t>
        </is>
      </c>
      <c r="C181" s="47" t="inlineStr">
        <is>
          <t>PT บริษัท อาร์เอช เท็คท์ แอสโซบิลด์ จำกัด</t>
        </is>
      </c>
      <c r="D181" s="46" t="inlineStr">
        <is>
          <t>2026-02</t>
        </is>
      </c>
      <c r="E181" s="47" t="inlineStr">
        <is>
          <t>LED Streetlight 150W 5700K 23,</t>
        </is>
      </c>
      <c r="F181" s="47" t="inlineStr">
        <is>
          <t>LKT. 2026-02-PL706</t>
        </is>
      </c>
      <c r="G181" s="78" t="n">
        <v>166200</v>
      </c>
      <c r="H181" s="78" t="n">
        <v>11634</v>
      </c>
      <c r="I181" s="78" t="n">
        <v>177834</v>
      </c>
      <c r="J181" s="46" t="inlineStr">
        <is>
          <t>⚪ รอผล</t>
        </is>
      </c>
      <c r="K181" s="46" t="inlineStr">
        <is>
          <t>—</t>
        </is>
      </c>
      <c r="L181" s="46" t="inlineStr">
        <is>
          <t>ต่ำ</t>
        </is>
      </c>
      <c r="M181" s="46" t="inlineStr">
        <is>
          <t>—</t>
        </is>
      </c>
      <c r="N181" s="46" t="inlineStr">
        <is>
          <t>⚪ รอสอบถาม</t>
        </is>
      </c>
    </row>
    <row r="182" ht="14" customHeight="1">
      <c r="A182" s="46" t="n">
        <v>178</v>
      </c>
      <c r="B182" s="46" t="inlineStr">
        <is>
          <t>PL649</t>
        </is>
      </c>
      <c r="C182" s="47" t="inlineStr">
        <is>
          <t>เค บี เอ็ม</t>
        </is>
      </c>
      <c r="D182" s="46" t="inlineStr">
        <is>
          <t>2026-01</t>
        </is>
      </c>
      <c r="E182" s="47" t="inlineStr">
        <is>
          <t>High mast Pole 20 M วงแหวน 8 โ</t>
        </is>
      </c>
      <c r="F182" s="47" t="inlineStr">
        <is>
          <t>LKT. 2026-01 -PL649</t>
        </is>
      </c>
      <c r="G182" s="78" t="n">
        <v>162660.4</v>
      </c>
      <c r="H182" s="78" t="n">
        <v>11386.23</v>
      </c>
      <c r="I182" s="78" t="n">
        <v>174046.63</v>
      </c>
      <c r="J182" s="46" t="inlineStr">
        <is>
          <t>⚪ รอผล</t>
        </is>
      </c>
      <c r="K182" s="46" t="inlineStr">
        <is>
          <t>—</t>
        </is>
      </c>
      <c r="L182" s="46" t="inlineStr">
        <is>
          <t>ต่ำ</t>
        </is>
      </c>
      <c r="M182" s="46" t="inlineStr">
        <is>
          <t>อปท. Supply</t>
        </is>
      </c>
      <c r="N182" s="46" t="inlineStr">
        <is>
          <t>⚪ รอสอบถาม</t>
        </is>
      </c>
    </row>
    <row r="183" ht="14" customHeight="1">
      <c r="A183" s="46" t="n">
        <v>179</v>
      </c>
      <c r="B183" s="46" t="inlineStr">
        <is>
          <t>PL710</t>
        </is>
      </c>
      <c r="C183" s="47" t="inlineStr">
        <is>
          <t>บ.เอสอีซีที</t>
        </is>
      </c>
      <c r="D183" s="46" t="inlineStr">
        <is>
          <t>2026-02</t>
        </is>
      </c>
      <c r="E183" s="47" t="inlineStr">
        <is>
          <t>เสากลมตรง 7''OD190.7 H10m</t>
        </is>
      </c>
      <c r="F183" s="47" t="inlineStr">
        <is>
          <t>LKT. 2026-02 -PL710</t>
        </is>
      </c>
      <c r="G183" s="78" t="n">
        <v>155820</v>
      </c>
      <c r="H183" s="78" t="n">
        <v>10907.4</v>
      </c>
      <c r="I183" s="78" t="n">
        <v>166727.4</v>
      </c>
      <c r="J183" s="46" t="inlineStr">
        <is>
          <t>⚪ รอผล</t>
        </is>
      </c>
      <c r="K183" s="46" t="inlineStr">
        <is>
          <t>—</t>
        </is>
      </c>
      <c r="L183" s="46" t="inlineStr">
        <is>
          <t>ต่ำ</t>
        </is>
      </c>
      <c r="M183" s="46" t="inlineStr">
        <is>
          <t>—</t>
        </is>
      </c>
      <c r="N183" s="46" t="inlineStr">
        <is>
          <t>⚪ รอสอบถาม</t>
        </is>
      </c>
    </row>
    <row r="184" ht="14" customHeight="1">
      <c r="A184" s="46" t="n">
        <v>180</v>
      </c>
      <c r="B184" s="46" t="inlineStr">
        <is>
          <t>PL757</t>
        </is>
      </c>
      <c r="C184" s="47" t="inlineStr">
        <is>
          <t>หจก.ธรรมรงรักษ์ เทรดดิ้ง</t>
        </is>
      </c>
      <c r="D184" s="46" t="inlineStr">
        <is>
          <t>2026-03</t>
        </is>
      </c>
      <c r="E184" s="47" t="inlineStr">
        <is>
          <t>เสาการดเรล OD100 H2.0M</t>
        </is>
      </c>
      <c r="F184" s="47" t="inlineStr">
        <is>
          <t>LKT. 2026-03 -PL757</t>
        </is>
      </c>
      <c r="G184" s="78" t="n">
        <v>152878.04</v>
      </c>
      <c r="H184" s="78" t="n">
        <v>10701.46</v>
      </c>
      <c r="I184" s="78" t="n">
        <v>163579.5</v>
      </c>
      <c r="J184" s="46" t="inlineStr">
        <is>
          <t>⚪ รอผล</t>
        </is>
      </c>
      <c r="K184" s="46" t="inlineStr">
        <is>
          <t>—</t>
        </is>
      </c>
      <c r="L184" s="46" t="inlineStr">
        <is>
          <t>ต่ำ</t>
        </is>
      </c>
      <c r="M184" s="46" t="inlineStr">
        <is>
          <t>—</t>
        </is>
      </c>
      <c r="N184" s="46" t="inlineStr">
        <is>
          <t>⚪ รอสอบถาม</t>
        </is>
      </c>
    </row>
    <row r="185" ht="14" customHeight="1">
      <c r="A185" s="46" t="n">
        <v>181</v>
      </c>
      <c r="B185" s="46" t="inlineStr">
        <is>
          <t>PL798</t>
        </is>
      </c>
      <c r="C185" s="47" t="inlineStr">
        <is>
          <t>เอสทีจี</t>
        </is>
      </c>
      <c r="D185" s="46" t="inlineStr">
        <is>
          <t>2026-04</t>
        </is>
      </c>
      <c r="E185" s="47" t="inlineStr">
        <is>
          <t>Pole With Bracket 9M-T4-TR</t>
        </is>
      </c>
      <c r="F185" s="47" t="inlineStr">
        <is>
          <t>LKT. 2026-04 -PL798</t>
        </is>
      </c>
      <c r="G185" s="78" t="n">
        <v>151988.2</v>
      </c>
      <c r="H185" s="78" t="n">
        <v>10639.17</v>
      </c>
      <c r="I185" s="78" t="n">
        <v>162627.37</v>
      </c>
      <c r="J185" s="46" t="inlineStr">
        <is>
          <t>⚪ รอผล</t>
        </is>
      </c>
      <c r="K185" s="46" t="inlineStr">
        <is>
          <t>—</t>
        </is>
      </c>
      <c r="L185" s="46" t="inlineStr">
        <is>
          <t>ต่ำ</t>
        </is>
      </c>
      <c r="M185" s="46" t="inlineStr">
        <is>
          <t>—</t>
        </is>
      </c>
      <c r="N185" s="46" t="inlineStr">
        <is>
          <t>⚪ รอสอบถาม</t>
        </is>
      </c>
    </row>
    <row r="186" ht="14" customHeight="1">
      <c r="A186" s="46" t="n">
        <v>182</v>
      </c>
      <c r="B186" s="46" t="inlineStr">
        <is>
          <t>PL742</t>
        </is>
      </c>
      <c r="C186" s="47" t="inlineStr">
        <is>
          <t>ประดิษฐ์</t>
        </is>
      </c>
      <c r="D186" s="46" t="inlineStr">
        <is>
          <t>2026-03</t>
        </is>
      </c>
      <c r="E186" s="47" t="inlineStr">
        <is>
          <t>อื่นๆ</t>
        </is>
      </c>
      <c r="F186" s="47" t="inlineStr">
        <is>
          <t>LKT. 2026-03 -PL742</t>
        </is>
      </c>
      <c r="G186" s="78" t="n">
        <v>149038.4</v>
      </c>
      <c r="H186" s="78" t="n">
        <v>10432.69</v>
      </c>
      <c r="I186" s="78" t="n">
        <v>159471.09</v>
      </c>
      <c r="J186" s="46" t="inlineStr">
        <is>
          <t>⚪ รอผล</t>
        </is>
      </c>
      <c r="K186" s="46" t="inlineStr">
        <is>
          <t>—</t>
        </is>
      </c>
      <c r="L186" s="46" t="inlineStr">
        <is>
          <t>ต่ำ</t>
        </is>
      </c>
      <c r="M186" s="46" t="inlineStr">
        <is>
          <t>—</t>
        </is>
      </c>
      <c r="N186" s="46" t="inlineStr">
        <is>
          <t>⚪ รอสอบถาม</t>
        </is>
      </c>
    </row>
    <row r="187" ht="14" customHeight="1">
      <c r="A187" s="46" t="n">
        <v>183</v>
      </c>
      <c r="B187" s="46" t="inlineStr">
        <is>
          <t>PL918</t>
        </is>
      </c>
      <c r="C187" s="47" t="inlineStr">
        <is>
          <t>เอเอ็มพี โซลูชั่นส์ ครอป</t>
        </is>
      </c>
      <c r="D187" s="46" t="inlineStr">
        <is>
          <t>2026-06</t>
        </is>
      </c>
      <c r="E187" s="47" t="inlineStr">
        <is>
          <t>High mast Pole 20 M วงแหวน 8 โ</t>
        </is>
      </c>
      <c r="F187" s="47" t="inlineStr">
        <is>
          <t>LKT. 2026-06-PL918</t>
        </is>
      </c>
      <c r="G187" s="78" t="n">
        <v>148398.96</v>
      </c>
      <c r="H187" s="78" t="n">
        <v>10387.93</v>
      </c>
      <c r="I187" s="78" t="n">
        <v>158786.89</v>
      </c>
      <c r="J187" s="46" t="inlineStr">
        <is>
          <t>⚪ รอผล</t>
        </is>
      </c>
      <c r="K187" s="46" t="inlineStr">
        <is>
          <t>—</t>
        </is>
      </c>
      <c r="L187" s="46" t="inlineStr">
        <is>
          <t>ต่ำ</t>
        </is>
      </c>
      <c r="M187" s="46" t="inlineStr">
        <is>
          <t>—</t>
        </is>
      </c>
      <c r="N187" s="46" t="inlineStr">
        <is>
          <t>⚪ รอสอบถาม</t>
        </is>
      </c>
    </row>
    <row r="188" ht="14" customHeight="1">
      <c r="A188" s="46" t="n">
        <v>184</v>
      </c>
      <c r="B188" s="46" t="inlineStr">
        <is>
          <t>PL921</t>
        </is>
      </c>
      <c r="C188" s="47" t="inlineStr">
        <is>
          <t>ไอ.ที.บอร์ด จำกัด</t>
        </is>
      </c>
      <c r="D188" s="46" t="inlineStr">
        <is>
          <t>2026-06</t>
        </is>
      </c>
      <c r="E188" s="47" t="inlineStr">
        <is>
          <t>อื่นๆ</t>
        </is>
      </c>
      <c r="F188" s="47" t="inlineStr">
        <is>
          <t>LKT. 2026-06-PL921</t>
        </is>
      </c>
      <c r="G188" s="78" t="n">
        <v>148274</v>
      </c>
      <c r="H188" s="78" t="n">
        <v>10379.18</v>
      </c>
      <c r="I188" s="78" t="n">
        <v>158653.18</v>
      </c>
      <c r="J188" s="46" t="inlineStr">
        <is>
          <t>⚪ รอผล</t>
        </is>
      </c>
      <c r="K188" s="46" t="inlineStr">
        <is>
          <t>—</t>
        </is>
      </c>
      <c r="L188" s="46" t="inlineStr">
        <is>
          <t>ต่ำ</t>
        </is>
      </c>
      <c r="M188" s="46" t="inlineStr">
        <is>
          <t>—</t>
        </is>
      </c>
      <c r="N188" s="46" t="inlineStr">
        <is>
          <t>⚪ รอสอบถาม</t>
        </is>
      </c>
    </row>
    <row r="189" ht="14" customHeight="1">
      <c r="A189" s="46" t="n">
        <v>185</v>
      </c>
      <c r="B189" s="46" t="inlineStr">
        <is>
          <t>PL700</t>
        </is>
      </c>
      <c r="C189" s="47" t="inlineStr">
        <is>
          <t>ภควัต</t>
        </is>
      </c>
      <c r="D189" s="46" t="inlineStr">
        <is>
          <t>2026-02</t>
        </is>
      </c>
      <c r="E189" s="47" t="inlineStr">
        <is>
          <t>Pole With Bracket 6M-T4-TR</t>
        </is>
      </c>
      <c r="F189" s="47" t="inlineStr">
        <is>
          <t>LKT. 2026-02-700</t>
        </is>
      </c>
      <c r="G189" s="78" t="n">
        <v>147686</v>
      </c>
      <c r="H189" s="78" t="n">
        <v>10338.02</v>
      </c>
      <c r="I189" s="78" t="n">
        <v>158024.02</v>
      </c>
      <c r="J189" s="46" t="inlineStr">
        <is>
          <t>⚪ รอผล</t>
        </is>
      </c>
      <c r="K189" s="46" t="inlineStr">
        <is>
          <t>—</t>
        </is>
      </c>
      <c r="L189" s="46" t="inlineStr">
        <is>
          <t>ต่ำ</t>
        </is>
      </c>
      <c r="M189" s="46" t="inlineStr">
        <is>
          <t>—</t>
        </is>
      </c>
      <c r="N189" s="46" t="inlineStr">
        <is>
          <t>⚪ รอสอบถาม</t>
        </is>
      </c>
    </row>
    <row r="190" ht="14" customHeight="1">
      <c r="A190" s="46" t="n">
        <v>186</v>
      </c>
      <c r="B190" s="46" t="inlineStr">
        <is>
          <t>PL655</t>
        </is>
      </c>
      <c r="C190" s="47" t="inlineStr">
        <is>
          <t>เอส พีวัน กรุ๊ป</t>
        </is>
      </c>
      <c r="D190" s="46" t="inlineStr">
        <is>
          <t>2026-01</t>
        </is>
      </c>
      <c r="E190" s="47" t="inlineStr">
        <is>
          <t>Pole With Bracket 9M-T4-TR</t>
        </is>
      </c>
      <c r="F190" s="47" t="inlineStr">
        <is>
          <t>LKT. 2026-01 -PL655</t>
        </is>
      </c>
      <c r="G190" s="78" t="n">
        <v>145922</v>
      </c>
      <c r="H190" s="78" t="n">
        <v>10214.54</v>
      </c>
      <c r="I190" s="78" t="n">
        <v>156136.54</v>
      </c>
      <c r="J190" s="46" t="inlineStr">
        <is>
          <t>⚪ รอผล</t>
        </is>
      </c>
      <c r="K190" s="46" t="inlineStr">
        <is>
          <t>—</t>
        </is>
      </c>
      <c r="L190" s="46" t="inlineStr">
        <is>
          <t>ต่ำ</t>
        </is>
      </c>
      <c r="M190" s="46" t="inlineStr">
        <is>
          <t>—</t>
        </is>
      </c>
      <c r="N190" s="46" t="inlineStr">
        <is>
          <t>⚪ รอสอบถาม</t>
        </is>
      </c>
    </row>
    <row r="191" ht="14" customHeight="1">
      <c r="A191" s="46" t="n">
        <v>187</v>
      </c>
      <c r="B191" s="46" t="inlineStr">
        <is>
          <t>PL624</t>
        </is>
      </c>
      <c r="C191" s="47" t="inlineStr">
        <is>
          <t>เค บี เอ็ม</t>
        </is>
      </c>
      <c r="D191" s="46" t="inlineStr">
        <is>
          <t>2026-01</t>
        </is>
      </c>
      <c r="E191" s="47" t="inlineStr">
        <is>
          <t>ชุดวายริ่งสายไฟเขา 6 ดวงโคม</t>
        </is>
      </c>
      <c r="F191" s="47" t="inlineStr">
        <is>
          <t>LKT. 2026-01 -PL624</t>
        </is>
      </c>
      <c r="G191" s="78" t="n">
        <v>145608.4</v>
      </c>
      <c r="H191" s="78" t="n">
        <v>10192.59</v>
      </c>
      <c r="I191" s="78" t="n">
        <v>155800.99</v>
      </c>
      <c r="J191" s="46" t="inlineStr">
        <is>
          <t>⚪ รอผล</t>
        </is>
      </c>
      <c r="K191" s="46" t="inlineStr">
        <is>
          <t>—</t>
        </is>
      </c>
      <c r="L191" s="46" t="inlineStr">
        <is>
          <t>ต่ำ</t>
        </is>
      </c>
      <c r="M191" s="46" t="inlineStr">
        <is>
          <t>อปท. Supply</t>
        </is>
      </c>
      <c r="N191" s="46" t="inlineStr">
        <is>
          <t>⚪ รอสอบถาม</t>
        </is>
      </c>
    </row>
    <row r="192" ht="14" customHeight="1">
      <c r="A192" s="46" t="n">
        <v>188</v>
      </c>
      <c r="B192" s="46" t="inlineStr">
        <is>
          <t>PL793</t>
        </is>
      </c>
      <c r="C192" s="47" t="inlineStr">
        <is>
          <t>เจแอล มอเตอร์</t>
        </is>
      </c>
      <c r="D192" s="46" t="inlineStr">
        <is>
          <t>2026-03</t>
        </is>
      </c>
      <c r="E192" s="47" t="inlineStr">
        <is>
          <t>อื่นๆ</t>
        </is>
      </c>
      <c r="F192" s="47" t="inlineStr">
        <is>
          <t>LKT. 2026-02 -PL714</t>
        </is>
      </c>
      <c r="G192" s="78" t="n">
        <v>143269.5</v>
      </c>
      <c r="H192" s="78" t="n">
        <v>10028.87</v>
      </c>
      <c r="I192" s="78" t="n">
        <v>153298.37</v>
      </c>
      <c r="J192" s="46" t="inlineStr">
        <is>
          <t>⚪ รอผล</t>
        </is>
      </c>
      <c r="K192" s="46" t="inlineStr">
        <is>
          <t>—</t>
        </is>
      </c>
      <c r="L192" s="46" t="inlineStr">
        <is>
          <t>ต่ำ</t>
        </is>
      </c>
      <c r="M192" s="46" t="inlineStr">
        <is>
          <t>—</t>
        </is>
      </c>
      <c r="N192" s="46" t="inlineStr">
        <is>
          <t>⚪ รอสอบถาม</t>
        </is>
      </c>
    </row>
    <row r="193" ht="14" customHeight="1">
      <c r="A193" s="46" t="n">
        <v>189</v>
      </c>
      <c r="B193" s="46" t="inlineStr">
        <is>
          <t>PL775</t>
        </is>
      </c>
      <c r="C193" s="47" t="inlineStr">
        <is>
          <t>ดำรงกุลการโยธา</t>
        </is>
      </c>
      <c r="D193" s="46" t="inlineStr">
        <is>
          <t>2026-03</t>
        </is>
      </c>
      <c r="E193" s="47" t="inlineStr">
        <is>
          <t>High mast Pole 15 M วงแหวน 8 โ</t>
        </is>
      </c>
      <c r="F193" s="47" t="inlineStr">
        <is>
          <t>LKT. 2026-03 -PL775</t>
        </is>
      </c>
      <c r="G193" s="78" t="n">
        <v>142198</v>
      </c>
      <c r="H193" s="78" t="n">
        <v>9953.860000000001</v>
      </c>
      <c r="I193" s="78" t="n">
        <v>152151.86</v>
      </c>
      <c r="J193" s="46" t="inlineStr">
        <is>
          <t>⚪ รอผล</t>
        </is>
      </c>
      <c r="K193" s="46" t="inlineStr">
        <is>
          <t>—</t>
        </is>
      </c>
      <c r="L193" s="46" t="inlineStr">
        <is>
          <t>ต่ำ</t>
        </is>
      </c>
      <c r="M193" s="46" t="inlineStr">
        <is>
          <t>—</t>
        </is>
      </c>
      <c r="N193" s="46" t="inlineStr">
        <is>
          <t>⚪ รอสอบถาม</t>
        </is>
      </c>
    </row>
    <row r="194" ht="14" customHeight="1">
      <c r="A194" s="46" t="n">
        <v>190</v>
      </c>
      <c r="B194" s="46" t="inlineStr">
        <is>
          <t>PL769</t>
        </is>
      </c>
      <c r="C194" s="47" t="inlineStr">
        <is>
          <t>R00  บริษัท สุเบญจา จำกัด</t>
        </is>
      </c>
      <c r="D194" s="46" t="inlineStr">
        <is>
          <t>2026-03</t>
        </is>
      </c>
      <c r="E194" s="47" t="inlineStr">
        <is>
          <t>Pole With Bracket 8M-T4-TR</t>
        </is>
      </c>
      <c r="F194" s="47" t="inlineStr">
        <is>
          <t>LKT. 2026-03 -PL769</t>
        </is>
      </c>
      <c r="G194" s="78" t="n">
        <v>140916.75</v>
      </c>
      <c r="H194" s="78" t="n">
        <v>9864.17</v>
      </c>
      <c r="I194" s="78" t="n">
        <v>150780.92</v>
      </c>
      <c r="J194" s="46" t="inlineStr">
        <is>
          <t>⚪ รอผล</t>
        </is>
      </c>
      <c r="K194" s="46" t="inlineStr">
        <is>
          <t>—</t>
        </is>
      </c>
      <c r="L194" s="46" t="inlineStr">
        <is>
          <t>ต่ำ</t>
        </is>
      </c>
      <c r="M194" s="46" t="inlineStr">
        <is>
          <t>—</t>
        </is>
      </c>
      <c r="N194" s="46" t="inlineStr">
        <is>
          <t>⚪ รอสอบถาม</t>
        </is>
      </c>
    </row>
    <row r="195" ht="14" customHeight="1">
      <c r="A195" s="46" t="n">
        <v>191</v>
      </c>
      <c r="B195" s="46" t="inlineStr">
        <is>
          <t>PL711</t>
        </is>
      </c>
      <c r="C195" s="47" t="inlineStr">
        <is>
          <t>นายกเทศบาลนครขอนแก่น</t>
        </is>
      </c>
      <c r="D195" s="46" t="inlineStr">
        <is>
          <t>2026-02</t>
        </is>
      </c>
      <c r="E195" s="47" t="inlineStr">
        <is>
          <t>High mast Pole 15 M วงแหวน 8 โ</t>
        </is>
      </c>
      <c r="F195" s="47" t="inlineStr">
        <is>
          <t>LKT. 2026-02 -PL711</t>
        </is>
      </c>
      <c r="G195" s="78" t="n">
        <v>139140.4</v>
      </c>
      <c r="H195" s="78" t="n">
        <v>9739.83</v>
      </c>
      <c r="I195" s="78" t="n">
        <v>148880.23</v>
      </c>
      <c r="J195" s="46" t="inlineStr">
        <is>
          <t>⚪ รอผล</t>
        </is>
      </c>
      <c r="K195" s="46" t="inlineStr">
        <is>
          <t>—</t>
        </is>
      </c>
      <c r="L195" s="46" t="inlineStr">
        <is>
          <t>ต่ำ</t>
        </is>
      </c>
      <c r="M195" s="46" t="inlineStr">
        <is>
          <t>—</t>
        </is>
      </c>
      <c r="N195" s="46" t="inlineStr">
        <is>
          <t>⚪ รอสอบถาม</t>
        </is>
      </c>
    </row>
    <row r="196" ht="14" customHeight="1">
      <c r="A196" s="46" t="n">
        <v>192</v>
      </c>
      <c r="B196" s="46" t="inlineStr">
        <is>
          <t>PL815</t>
        </is>
      </c>
      <c r="C196" s="47" t="inlineStr">
        <is>
          <t>สราญใจ พริ้ตติ้ง</t>
        </is>
      </c>
      <c r="D196" s="46" t="inlineStr">
        <is>
          <t>2026-04</t>
        </is>
      </c>
      <c r="E196" s="47" t="inlineStr">
        <is>
          <t>เสาตัว T สูง 10M+Arm Bracket 2</t>
        </is>
      </c>
      <c r="F196" s="47" t="inlineStr">
        <is>
          <t>LKT. 2026-04 -PL815</t>
        </is>
      </c>
      <c r="G196" s="78" t="n">
        <v>135004.8</v>
      </c>
      <c r="H196" s="78" t="n">
        <v>9450.34</v>
      </c>
      <c r="I196" s="78" t="n">
        <v>144455.14</v>
      </c>
      <c r="J196" s="46" t="inlineStr">
        <is>
          <t>⚪ รอผล</t>
        </is>
      </c>
      <c r="K196" s="46" t="inlineStr">
        <is>
          <t>—</t>
        </is>
      </c>
      <c r="L196" s="46" t="inlineStr">
        <is>
          <t>ต่ำ</t>
        </is>
      </c>
      <c r="M196" s="46" t="inlineStr">
        <is>
          <t>—</t>
        </is>
      </c>
      <c r="N196" s="46" t="inlineStr">
        <is>
          <t>⚪ รอสอบถาม</t>
        </is>
      </c>
    </row>
    <row r="197" ht="14" customHeight="1">
      <c r="A197" s="46" t="n">
        <v>193</v>
      </c>
      <c r="B197" s="46" t="inlineStr">
        <is>
          <t>PL705</t>
        </is>
      </c>
      <c r="C197" s="47" t="inlineStr">
        <is>
          <t>ทองหยก</t>
        </is>
      </c>
      <c r="D197" s="46" t="inlineStr">
        <is>
          <t>2026-02</t>
        </is>
      </c>
      <c r="E197" s="47" t="inlineStr">
        <is>
          <t>Post Top Pole 8M-T4-TR</t>
        </is>
      </c>
      <c r="F197" s="47" t="inlineStr">
        <is>
          <t>LKT. 2026-02 -PL705</t>
        </is>
      </c>
      <c r="G197" s="78" t="n">
        <v>134946</v>
      </c>
      <c r="H197" s="78" t="n">
        <v>9446.219999999999</v>
      </c>
      <c r="I197" s="78" t="n">
        <v>144392.22</v>
      </c>
      <c r="J197" s="46" t="inlineStr">
        <is>
          <t>⚪ รอผล</t>
        </is>
      </c>
      <c r="K197" s="46" t="inlineStr">
        <is>
          <t>—</t>
        </is>
      </c>
      <c r="L197" s="46" t="inlineStr">
        <is>
          <t>ต่ำ</t>
        </is>
      </c>
      <c r="M197" s="46" t="inlineStr">
        <is>
          <t>—</t>
        </is>
      </c>
      <c r="N197" s="46" t="inlineStr">
        <is>
          <t>⚪ รอสอบถาม</t>
        </is>
      </c>
    </row>
    <row r="198" ht="14" customHeight="1">
      <c r="A198" s="46" t="n">
        <v>194</v>
      </c>
      <c r="B198" s="46" t="inlineStr">
        <is>
          <t>PL766</t>
        </is>
      </c>
      <c r="C198" s="47" t="inlineStr">
        <is>
          <t>องค์การบริหารส่วนตำบลทุ่งลูกนก</t>
        </is>
      </c>
      <c r="D198" s="46" t="inlineStr">
        <is>
          <t>2026-03</t>
        </is>
      </c>
      <c r="E198" s="47" t="inlineStr">
        <is>
          <t>High mast Pole 20 M วงแหวน 6 โ</t>
        </is>
      </c>
      <c r="F198" s="47" t="inlineStr">
        <is>
          <t>LKT. 2026-03 -PL766</t>
        </is>
      </c>
      <c r="G198" s="78" t="n">
        <v>133966</v>
      </c>
      <c r="H198" s="78" t="n">
        <v>9377.620000000001</v>
      </c>
      <c r="I198" s="78" t="n">
        <v>143343.62</v>
      </c>
      <c r="J198" s="46" t="inlineStr">
        <is>
          <t>⚪ รอผล</t>
        </is>
      </c>
      <c r="K198" s="46" t="inlineStr">
        <is>
          <t>—</t>
        </is>
      </c>
      <c r="L198" s="46" t="inlineStr">
        <is>
          <t>ต่ำ</t>
        </is>
      </c>
      <c r="M198" s="46" t="inlineStr">
        <is>
          <t>—</t>
        </is>
      </c>
      <c r="N198" s="46" t="inlineStr">
        <is>
          <t>⚪ รอสอบถาม</t>
        </is>
      </c>
    </row>
    <row r="199" ht="14" customHeight="1">
      <c r="A199" s="46" t="n">
        <v>195</v>
      </c>
      <c r="B199" s="46" t="inlineStr">
        <is>
          <t>PL767</t>
        </is>
      </c>
      <c r="C199" s="47" t="inlineStr">
        <is>
          <t>ออฟฟิศเมท โลจิสติกส์</t>
        </is>
      </c>
      <c r="D199" s="46" t="inlineStr">
        <is>
          <t>2026-03</t>
        </is>
      </c>
      <c r="E199" s="47" t="inlineStr">
        <is>
          <t>High mast Pole 20 M วงแหวน 6 โ</t>
        </is>
      </c>
      <c r="F199" s="47" t="inlineStr">
        <is>
          <t>LKT. 2026-03 -PL767</t>
        </is>
      </c>
      <c r="G199" s="78" t="n">
        <v>133966</v>
      </c>
      <c r="H199" s="78" t="n">
        <v>9377.620000000001</v>
      </c>
      <c r="I199" s="78" t="n">
        <v>143343.62</v>
      </c>
      <c r="J199" s="46" t="inlineStr">
        <is>
          <t>⚪ รอผล</t>
        </is>
      </c>
      <c r="K199" s="46" t="inlineStr">
        <is>
          <t>—</t>
        </is>
      </c>
      <c r="L199" s="46" t="inlineStr">
        <is>
          <t>ต่ำ</t>
        </is>
      </c>
      <c r="M199" s="46" t="inlineStr">
        <is>
          <t>—</t>
        </is>
      </c>
      <c r="N199" s="46" t="inlineStr">
        <is>
          <t>⚪ รอสอบถาม</t>
        </is>
      </c>
    </row>
    <row r="200" ht="14" customHeight="1">
      <c r="A200" s="46" t="n">
        <v>196</v>
      </c>
      <c r="B200" s="46" t="inlineStr">
        <is>
          <t>PL831</t>
        </is>
      </c>
      <c r="C200" s="47" t="inlineStr">
        <is>
          <t>เค บี เอ็ม</t>
        </is>
      </c>
      <c r="D200" s="46" t="inlineStr">
        <is>
          <t>2026-04</t>
        </is>
      </c>
      <c r="E200" s="47" t="inlineStr">
        <is>
          <t>Ground Rod for hightmass pole</t>
        </is>
      </c>
      <c r="F200" s="47" t="inlineStr">
        <is>
          <t>LKT. 2026-01 -PL624</t>
        </is>
      </c>
      <c r="G200" s="78" t="n">
        <v>133344</v>
      </c>
      <c r="H200" s="78" t="n">
        <v>9334.08</v>
      </c>
      <c r="I200" s="78" t="n">
        <v>142678.08</v>
      </c>
      <c r="J200" s="46" t="inlineStr">
        <is>
          <t>⚪ รอผล</t>
        </is>
      </c>
      <c r="K200" s="46" t="inlineStr">
        <is>
          <t>—</t>
        </is>
      </c>
      <c r="L200" s="46" t="inlineStr">
        <is>
          <t>ต่ำ</t>
        </is>
      </c>
      <c r="M200" s="46" t="inlineStr">
        <is>
          <t>อปท. Supply</t>
        </is>
      </c>
      <c r="N200" s="46" t="inlineStr">
        <is>
          <t>⚪ รอสอบถาม</t>
        </is>
      </c>
    </row>
    <row r="201" ht="14" customHeight="1">
      <c r="A201" s="46" t="n">
        <v>197</v>
      </c>
      <c r="B201" s="46" t="inlineStr">
        <is>
          <t>PL834</t>
        </is>
      </c>
      <c r="C201" s="47" t="inlineStr">
        <is>
          <t>สราญใจพริ้นติ้ง</t>
        </is>
      </c>
      <c r="D201" s="46" t="inlineStr">
        <is>
          <t>2026-04</t>
        </is>
      </c>
      <c r="E201" s="47" t="inlineStr">
        <is>
          <t xml:space="preserve">เสาตัว T สูง 12M+ Arm Bracket </t>
        </is>
      </c>
      <c r="F201" s="47" t="inlineStr">
        <is>
          <t>LKT. 2026-04 -PL834</t>
        </is>
      </c>
      <c r="G201" s="78" t="n">
        <v>133240.8</v>
      </c>
      <c r="H201" s="78" t="n">
        <v>9326.860000000001</v>
      </c>
      <c r="I201" s="78" t="n">
        <v>142567.66</v>
      </c>
      <c r="J201" s="46" t="inlineStr">
        <is>
          <t>⚪ รอผล</t>
        </is>
      </c>
      <c r="K201" s="46" t="inlineStr">
        <is>
          <t>—</t>
        </is>
      </c>
      <c r="L201" s="46" t="inlineStr">
        <is>
          <t>ต่ำ</t>
        </is>
      </c>
      <c r="M201" s="46" t="inlineStr">
        <is>
          <t>—</t>
        </is>
      </c>
      <c r="N201" s="46" t="inlineStr">
        <is>
          <t>⚪ รอสอบถาม</t>
        </is>
      </c>
    </row>
    <row r="202" ht="14" customHeight="1">
      <c r="A202" s="46" t="n">
        <v>198</v>
      </c>
      <c r="B202" s="46" t="inlineStr">
        <is>
          <t>PL935</t>
        </is>
      </c>
      <c r="C202" s="47" t="inlineStr">
        <is>
          <t>สราญใจ พริ้นติ้ง</t>
        </is>
      </c>
      <c r="D202" s="46" t="inlineStr">
        <is>
          <t>2026-06</t>
        </is>
      </c>
      <c r="E202" s="47" t="inlineStr">
        <is>
          <t xml:space="preserve">เสาตัว T สูง 12M+ Arm Bracket </t>
        </is>
      </c>
      <c r="F202" s="47" t="inlineStr">
        <is>
          <t>LKT. 2026-04 -PL834</t>
        </is>
      </c>
      <c r="G202" s="78" t="n">
        <v>133240.8</v>
      </c>
      <c r="H202" s="78" t="n">
        <v>9326.860000000001</v>
      </c>
      <c r="I202" s="78" t="n">
        <v>142567.66</v>
      </c>
      <c r="J202" s="46" t="inlineStr">
        <is>
          <t>⚪ รอผล</t>
        </is>
      </c>
      <c r="K202" s="46" t="inlineStr">
        <is>
          <t>—</t>
        </is>
      </c>
      <c r="L202" s="46" t="inlineStr">
        <is>
          <t>ต่ำ</t>
        </is>
      </c>
      <c r="M202" s="46" t="inlineStr">
        <is>
          <t>—</t>
        </is>
      </c>
      <c r="N202" s="46" t="inlineStr">
        <is>
          <t>⚪ รอสอบถาม</t>
        </is>
      </c>
    </row>
    <row r="203" ht="14" customHeight="1">
      <c r="A203" s="46" t="n">
        <v>199</v>
      </c>
      <c r="B203" s="46" t="inlineStr">
        <is>
          <t>PL709</t>
        </is>
      </c>
      <c r="C203" s="47" t="inlineStr">
        <is>
          <t>เลคิเซ่ เอฟแอนด์เอฟ</t>
        </is>
      </c>
      <c r="D203" s="46" t="inlineStr">
        <is>
          <t>2026-02</t>
        </is>
      </c>
      <c r="E203" s="47" t="inlineStr">
        <is>
          <t>Pole With Bracket H6.71M4.5tmm</t>
        </is>
      </c>
      <c r="F203" s="47" t="inlineStr">
        <is>
          <t>LKT. 2026-01 -PL646</t>
        </is>
      </c>
      <c r="G203" s="78" t="n">
        <v>130092</v>
      </c>
      <c r="H203" s="78" t="n">
        <v>9106.440000000001</v>
      </c>
      <c r="I203" s="78" t="n">
        <v>139198.44</v>
      </c>
      <c r="J203" s="46" t="inlineStr">
        <is>
          <t>⚪ รอผล</t>
        </is>
      </c>
      <c r="K203" s="46" t="inlineStr">
        <is>
          <t>—</t>
        </is>
      </c>
      <c r="L203" s="46" t="inlineStr">
        <is>
          <t>ต่ำ</t>
        </is>
      </c>
      <c r="M203" s="46" t="inlineStr">
        <is>
          <t>—</t>
        </is>
      </c>
      <c r="N203" s="46" t="inlineStr">
        <is>
          <t>⚪ รอสอบถาม</t>
        </is>
      </c>
    </row>
    <row r="204" ht="14" customHeight="1">
      <c r="A204" s="46" t="n">
        <v>200</v>
      </c>
      <c r="B204" s="46" t="inlineStr">
        <is>
          <t>PL827</t>
        </is>
      </c>
      <c r="C204" s="47" t="inlineStr">
        <is>
          <t>บริษัท ซีซีทีวี (ประเทศไทย) จำกัด</t>
        </is>
      </c>
      <c r="D204" s="46" t="inlineStr">
        <is>
          <t>2026-04</t>
        </is>
      </c>
      <c r="E204" s="47" t="inlineStr">
        <is>
          <t>Adaptor L200 OD60.5x4t Rev.01</t>
        </is>
      </c>
      <c r="F204" s="47" t="inlineStr">
        <is>
          <t>LKT. 2026-04 -PL827</t>
        </is>
      </c>
      <c r="G204" s="78" t="n">
        <v>128250</v>
      </c>
      <c r="H204" s="78" t="n">
        <v>8977.5</v>
      </c>
      <c r="I204" s="78" t="n">
        <v>137227.5</v>
      </c>
      <c r="J204" s="46" t="inlineStr">
        <is>
          <t>⚪ รอผล</t>
        </is>
      </c>
      <c r="K204" s="46" t="inlineStr">
        <is>
          <t>—</t>
        </is>
      </c>
      <c r="L204" s="46" t="inlineStr">
        <is>
          <t>ต่ำ</t>
        </is>
      </c>
      <c r="M204" s="46" t="inlineStr">
        <is>
          <t>ZETA-iOT</t>
        </is>
      </c>
      <c r="N204" s="46" t="inlineStr">
        <is>
          <t>⚪ รอสอบถาม</t>
        </is>
      </c>
    </row>
    <row r="205" ht="14" customHeight="1">
      <c r="A205" s="46" t="n">
        <v>201</v>
      </c>
      <c r="B205" s="46" t="inlineStr">
        <is>
          <t>PL882</t>
        </is>
      </c>
      <c r="C205" s="47" t="inlineStr">
        <is>
          <t>พัฒนานุภาพก่อสร้าง</t>
        </is>
      </c>
      <c r="D205" s="46" t="inlineStr">
        <is>
          <t>2026-05</t>
        </is>
      </c>
      <c r="E205" s="47" t="inlineStr">
        <is>
          <t>Pole With Bracket 6M-T4-TR</t>
        </is>
      </c>
      <c r="F205" s="47" t="inlineStr">
        <is>
          <t>LKT. 2026-05-PL882</t>
        </is>
      </c>
      <c r="G205" s="78" t="n">
        <v>126352.38</v>
      </c>
      <c r="H205" s="78" t="n">
        <v>8844.67</v>
      </c>
      <c r="I205" s="78" t="n">
        <v>135197.05</v>
      </c>
      <c r="J205" s="46" t="inlineStr">
        <is>
          <t>⚪ รอผล</t>
        </is>
      </c>
      <c r="K205" s="46" t="inlineStr">
        <is>
          <t>—</t>
        </is>
      </c>
      <c r="L205" s="46" t="inlineStr">
        <is>
          <t>ต่ำ</t>
        </is>
      </c>
      <c r="M205" s="46" t="inlineStr">
        <is>
          <t>—</t>
        </is>
      </c>
      <c r="N205" s="46" t="inlineStr">
        <is>
          <t>⚪ รอสอบถาม</t>
        </is>
      </c>
    </row>
    <row r="206" ht="14" customHeight="1">
      <c r="A206" s="46" t="n">
        <v>202</v>
      </c>
      <c r="B206" s="46" t="inlineStr">
        <is>
          <t>PL826</t>
        </is>
      </c>
      <c r="C206" s="47" t="inlineStr">
        <is>
          <t>อบต.ตาขัน ธนกร</t>
        </is>
      </c>
      <c r="D206" s="46" t="inlineStr">
        <is>
          <t>2026-04</t>
        </is>
      </c>
      <c r="E206" s="47" t="inlineStr">
        <is>
          <t>Pole With Bracket 7M-T4-TR</t>
        </is>
      </c>
      <c r="F206" s="47" t="inlineStr">
        <is>
          <t>LKT. 2026-04 -PL826</t>
        </is>
      </c>
      <c r="G206" s="78" t="n">
        <v>123342.8</v>
      </c>
      <c r="H206" s="78" t="n">
        <v>8634</v>
      </c>
      <c r="I206" s="78" t="n">
        <v>131976.8</v>
      </c>
      <c r="J206" s="46" t="inlineStr">
        <is>
          <t>⚪ รอผล</t>
        </is>
      </c>
      <c r="K206" s="46" t="inlineStr">
        <is>
          <t>—</t>
        </is>
      </c>
      <c r="L206" s="46" t="inlineStr">
        <is>
          <t>ต่ำ</t>
        </is>
      </c>
      <c r="M206" s="46" t="inlineStr">
        <is>
          <t>—</t>
        </is>
      </c>
      <c r="N206" s="46" t="inlineStr">
        <is>
          <t>⚪ รอสอบถาม</t>
        </is>
      </c>
    </row>
    <row r="207" ht="14" customHeight="1">
      <c r="A207" s="46" t="n">
        <v>203</v>
      </c>
      <c r="B207" s="46" t="inlineStr">
        <is>
          <t>PL926</t>
        </is>
      </c>
      <c r="C207" s="47" t="inlineStr">
        <is>
          <t>นฤมล</t>
        </is>
      </c>
      <c r="D207" s="46" t="inlineStr">
        <is>
          <t>2026-06</t>
        </is>
      </c>
      <c r="E207" s="47" t="inlineStr">
        <is>
          <t>Pole With Bracket 7M-T4-TR</t>
        </is>
      </c>
      <c r="F207" s="47" t="inlineStr">
        <is>
          <t>LKT. 2026-06 -PL926</t>
        </is>
      </c>
      <c r="G207" s="78" t="n">
        <v>120785</v>
      </c>
      <c r="H207" s="78" t="n">
        <v>8454.950000000001</v>
      </c>
      <c r="I207" s="78" t="n">
        <v>129239.95</v>
      </c>
      <c r="J207" s="46" t="inlineStr">
        <is>
          <t>⚪ รอผล</t>
        </is>
      </c>
      <c r="K207" s="46" t="inlineStr">
        <is>
          <t>—</t>
        </is>
      </c>
      <c r="L207" s="46" t="inlineStr">
        <is>
          <t>ต่ำ</t>
        </is>
      </c>
      <c r="M207" s="46" t="inlineStr">
        <is>
          <t>—</t>
        </is>
      </c>
      <c r="N207" s="46" t="inlineStr">
        <is>
          <t>⚪ รอสอบถาม</t>
        </is>
      </c>
    </row>
    <row r="208" ht="14" customHeight="1">
      <c r="A208" s="46" t="n">
        <v>204</v>
      </c>
      <c r="B208" s="46" t="inlineStr">
        <is>
          <t>PL646</t>
        </is>
      </c>
      <c r="C208" s="47" t="inlineStr">
        <is>
          <t>เลคิเซ่ เอฟแอนด์เอฟ  R01</t>
        </is>
      </c>
      <c r="D208" s="46" t="inlineStr">
        <is>
          <t>2026-01</t>
        </is>
      </c>
      <c r="E208" s="47" t="inlineStr">
        <is>
          <t>Pole With Bracket H6.71M4.5tmm</t>
        </is>
      </c>
      <c r="F208" s="47" t="inlineStr">
        <is>
          <t>LKT. 2025-09 -PL465</t>
        </is>
      </c>
      <c r="G208" s="78" t="n">
        <v>119550</v>
      </c>
      <c r="H208" s="78" t="n">
        <v>8368.5</v>
      </c>
      <c r="I208" s="78" t="n">
        <v>127918.5</v>
      </c>
      <c r="J208" s="46" t="inlineStr">
        <is>
          <t>⚪ รอผล</t>
        </is>
      </c>
      <c r="K208" s="46" t="inlineStr">
        <is>
          <t>—</t>
        </is>
      </c>
      <c r="L208" s="46" t="inlineStr">
        <is>
          <t>ต่ำ</t>
        </is>
      </c>
      <c r="M208" s="46" t="inlineStr">
        <is>
          <t>—</t>
        </is>
      </c>
      <c r="N208" s="46" t="inlineStr">
        <is>
          <t>⚪ รอสอบถาม</t>
        </is>
      </c>
    </row>
    <row r="209" ht="14" customHeight="1">
      <c r="A209" s="46" t="n">
        <v>205</v>
      </c>
      <c r="B209" s="46" t="inlineStr">
        <is>
          <t>PL851</t>
        </is>
      </c>
      <c r="C209" s="47" t="inlineStr">
        <is>
          <t>เดลต้า พลัส  ชุดเกียร์วินซ์คู่</t>
        </is>
      </c>
      <c r="D209" s="46" t="inlineStr">
        <is>
          <t>2026-05</t>
        </is>
      </c>
      <c r="E209" s="47" t="inlineStr">
        <is>
          <t>ชุดเกียรวินซคู+ซัพพอรตเกีย</t>
        </is>
      </c>
      <c r="F209" s="47" t="inlineStr">
        <is>
          <t>LKT. 2026-05-PL851</t>
        </is>
      </c>
      <c r="G209" s="78" t="n">
        <v>118750</v>
      </c>
      <c r="H209" s="78" t="n">
        <v>8312.5</v>
      </c>
      <c r="I209" s="78" t="n">
        <v>127062.5</v>
      </c>
      <c r="J209" s="46" t="inlineStr">
        <is>
          <t>⚪ รอผล</t>
        </is>
      </c>
      <c r="K209" s="46" t="inlineStr">
        <is>
          <t>—</t>
        </is>
      </c>
      <c r="L209" s="46" t="inlineStr">
        <is>
          <t>ต่ำ</t>
        </is>
      </c>
      <c r="M209" s="46" t="inlineStr">
        <is>
          <t>DOA</t>
        </is>
      </c>
      <c r="N209" s="46" t="inlineStr">
        <is>
          <t>⚪ รอสอบถาม</t>
        </is>
      </c>
    </row>
    <row r="210" ht="14" customHeight="1">
      <c r="A210" s="46" t="n">
        <v>206</v>
      </c>
      <c r="B210" s="46" t="inlineStr">
        <is>
          <t>PL873</t>
        </is>
      </c>
      <c r="C210" s="47" t="inlineStr">
        <is>
          <t>อบต. เกาะกูด</t>
        </is>
      </c>
      <c r="D210" s="46" t="inlineStr">
        <is>
          <t>2026-05</t>
        </is>
      </c>
      <c r="E210" s="47" t="inlineStr">
        <is>
          <t>เสาการดเรล OD100 H2.0M</t>
        </is>
      </c>
      <c r="F210" s="47" t="inlineStr">
        <is>
          <t>LKT. 2026-05-873</t>
        </is>
      </c>
      <c r="G210" s="78" t="n">
        <v>117538.26</v>
      </c>
      <c r="H210" s="78" t="n">
        <v>8227.68</v>
      </c>
      <c r="I210" s="78" t="n">
        <v>125765.94</v>
      </c>
      <c r="J210" s="46" t="inlineStr">
        <is>
          <t>⚪ รอผล</t>
        </is>
      </c>
      <c r="K210" s="46" t="inlineStr">
        <is>
          <t>—</t>
        </is>
      </c>
      <c r="L210" s="46" t="inlineStr">
        <is>
          <t>ต่ำ</t>
        </is>
      </c>
      <c r="M210" s="46" t="inlineStr">
        <is>
          <t>—</t>
        </is>
      </c>
      <c r="N210" s="46" t="inlineStr">
        <is>
          <t>⚪ รอสอบถาม</t>
        </is>
      </c>
    </row>
    <row r="211" ht="14" customHeight="1">
      <c r="A211" s="46" t="n">
        <v>207</v>
      </c>
      <c r="B211" s="46" t="inlineStr">
        <is>
          <t>PL846</t>
        </is>
      </c>
      <c r="C211" s="47" t="inlineStr">
        <is>
          <t>กู๊ดวิล บิวดิ้ง</t>
        </is>
      </c>
      <c r="D211" s="46" t="inlineStr">
        <is>
          <t>2026-04</t>
        </is>
      </c>
      <c r="E211" s="47" t="inlineStr">
        <is>
          <t>เสาการดเรล OD100 H2.0M</t>
        </is>
      </c>
      <c r="F211" s="47" t="inlineStr">
        <is>
          <t>LKT. 2026-04 -PL846</t>
        </is>
      </c>
      <c r="G211" s="78" t="n">
        <v>117516.7</v>
      </c>
      <c r="H211" s="78" t="n">
        <v>8226.17</v>
      </c>
      <c r="I211" s="78" t="n">
        <v>125742.87</v>
      </c>
      <c r="J211" s="46" t="inlineStr">
        <is>
          <t>⚪ รอผล</t>
        </is>
      </c>
      <c r="K211" s="46" t="inlineStr">
        <is>
          <t>—</t>
        </is>
      </c>
      <c r="L211" s="46" t="inlineStr">
        <is>
          <t>ต่ำ</t>
        </is>
      </c>
      <c r="M211" s="46" t="inlineStr">
        <is>
          <t>—</t>
        </is>
      </c>
      <c r="N211" s="46" t="inlineStr">
        <is>
          <t>⚪ รอสอบถาม</t>
        </is>
      </c>
    </row>
    <row r="212" ht="14" customHeight="1">
      <c r="A212" s="46" t="n">
        <v>208</v>
      </c>
      <c r="B212" s="46" t="inlineStr">
        <is>
          <t>PL621</t>
        </is>
      </c>
      <c r="C212" s="47" t="inlineStr">
        <is>
          <t>บริษัท ทริลเลียนอินดัสตรีส์ จำกัด</t>
        </is>
      </c>
      <c r="D212" s="46" t="inlineStr">
        <is>
          <t>2026-01</t>
        </is>
      </c>
      <c r="E212" s="47" t="inlineStr">
        <is>
          <t>Post Top Pole 8M-T4-TR</t>
        </is>
      </c>
      <c r="F212" s="47" t="inlineStr">
        <is>
          <t>LKT. 2026-01 -PL609</t>
        </is>
      </c>
      <c r="G212" s="78" t="n">
        <v>115840</v>
      </c>
      <c r="H212" s="78" t="n">
        <v>8108.8</v>
      </c>
      <c r="I212" s="78" t="n">
        <v>123948.8</v>
      </c>
      <c r="J212" s="46" t="inlineStr">
        <is>
          <t>⚪ รอผล</t>
        </is>
      </c>
      <c r="K212" s="46" t="inlineStr">
        <is>
          <t>—</t>
        </is>
      </c>
      <c r="L212" s="46" t="inlineStr">
        <is>
          <t>ต่ำ</t>
        </is>
      </c>
      <c r="M212" s="46" t="inlineStr">
        <is>
          <t>—</t>
        </is>
      </c>
      <c r="N212" s="46" t="inlineStr">
        <is>
          <t>⚪ รอสอบถาม</t>
        </is>
      </c>
    </row>
    <row r="213" ht="14" customHeight="1">
      <c r="A213" s="46" t="n">
        <v>209</v>
      </c>
      <c r="B213" s="46" t="inlineStr">
        <is>
          <t>PL635</t>
        </is>
      </c>
      <c r="C213" s="47" t="inlineStr">
        <is>
          <t>ไลท์ติ้ง โซลูชั่น</t>
        </is>
      </c>
      <c r="D213" s="46" t="inlineStr">
        <is>
          <t>2026-01</t>
        </is>
      </c>
      <c r="E213" s="47" t="inlineStr">
        <is>
          <t>post top 8M+Arm Bracket 2โคม</t>
        </is>
      </c>
      <c r="F213" s="47" t="inlineStr">
        <is>
          <t>LKT. 2026-01 -PL635</t>
        </is>
      </c>
      <c r="G213" s="78" t="n">
        <v>113905</v>
      </c>
      <c r="H213" s="78" t="n">
        <v>7973.35</v>
      </c>
      <c r="I213" s="78" t="n">
        <v>121878.35</v>
      </c>
      <c r="J213" s="46" t="inlineStr">
        <is>
          <t>⚪ รอผล</t>
        </is>
      </c>
      <c r="K213" s="46" t="inlineStr">
        <is>
          <t>—</t>
        </is>
      </c>
      <c r="L213" s="46" t="inlineStr">
        <is>
          <t>ต่ำ</t>
        </is>
      </c>
      <c r="M213" s="46" t="inlineStr">
        <is>
          <t>—</t>
        </is>
      </c>
      <c r="N213" s="46" t="inlineStr">
        <is>
          <t>⚪ รอสอบถาม</t>
        </is>
      </c>
    </row>
    <row r="214" ht="14" customHeight="1">
      <c r="A214" s="46" t="n">
        <v>210</v>
      </c>
      <c r="B214" s="46" t="inlineStr">
        <is>
          <t>PL749</t>
        </is>
      </c>
      <c r="C214" s="47" t="inlineStr">
        <is>
          <t>ทางหลวงชุมพร</t>
        </is>
      </c>
      <c r="D214" s="46" t="inlineStr">
        <is>
          <t>2026-03</t>
        </is>
      </c>
      <c r="E214" s="47" t="inlineStr">
        <is>
          <t>High mast Pole 20M เหล็ก 4.5 ม</t>
        </is>
      </c>
      <c r="F214" s="47" t="inlineStr">
        <is>
          <t>LKT. 2026-03-749</t>
        </is>
      </c>
      <c r="G214" s="78" t="n">
        <v>113043</v>
      </c>
      <c r="H214" s="78" t="n">
        <v>7913.01</v>
      </c>
      <c r="I214" s="78" t="n">
        <v>120956.01</v>
      </c>
      <c r="J214" s="46" t="inlineStr">
        <is>
          <t>⚪ รอผล</t>
        </is>
      </c>
      <c r="K214" s="46" t="inlineStr">
        <is>
          <t>—</t>
        </is>
      </c>
      <c r="L214" s="46" t="inlineStr">
        <is>
          <t>ต่ำ</t>
        </is>
      </c>
      <c r="M214" s="46" t="inlineStr">
        <is>
          <t>—</t>
        </is>
      </c>
      <c r="N214" s="46" t="inlineStr">
        <is>
          <t>⚪ รอสอบถาม</t>
        </is>
      </c>
    </row>
    <row r="215" ht="14" customHeight="1">
      <c r="A215" s="46" t="n">
        <v>211</v>
      </c>
      <c r="B215" s="46" t="inlineStr">
        <is>
          <t>PL789</t>
        </is>
      </c>
      <c r="C215" s="47" t="inlineStr">
        <is>
          <t>ไทย-ซีอาร์ซี</t>
        </is>
      </c>
      <c r="D215" s="46" t="inlineStr">
        <is>
          <t>2026-03</t>
        </is>
      </c>
      <c r="E215" s="47" t="inlineStr">
        <is>
          <t>อื่นๆ</t>
        </is>
      </c>
      <c r="F215" s="47" t="inlineStr">
        <is>
          <t>LKT. 2026-03-PL789</t>
        </is>
      </c>
      <c r="G215" s="78" t="n">
        <v>102128.98</v>
      </c>
      <c r="H215" s="78" t="n">
        <v>7149.03</v>
      </c>
      <c r="I215" s="78" t="n">
        <v>109278.01</v>
      </c>
      <c r="J215" s="46" t="inlineStr">
        <is>
          <t>⚪ รอผล</t>
        </is>
      </c>
      <c r="K215" s="46" t="inlineStr">
        <is>
          <t>—</t>
        </is>
      </c>
      <c r="L215" s="46" t="inlineStr">
        <is>
          <t>ต่ำ</t>
        </is>
      </c>
      <c r="M215" s="46" t="inlineStr">
        <is>
          <t>—</t>
        </is>
      </c>
      <c r="N215" s="46" t="inlineStr">
        <is>
          <t>⚪ รอสอบถาม</t>
        </is>
      </c>
    </row>
    <row r="216" ht="14" customHeight="1">
      <c r="A216" s="46" t="n">
        <v>212</v>
      </c>
      <c r="B216" s="46" t="inlineStr">
        <is>
          <t>PL617</t>
        </is>
      </c>
      <c r="C216" s="47" t="inlineStr">
        <is>
          <t>PT</t>
        </is>
      </c>
      <c r="D216" s="46" t="inlineStr">
        <is>
          <t>2026-01</t>
        </is>
      </c>
      <c r="E216" s="47" t="inlineStr">
        <is>
          <t>LED Streetlight 150W 5700K 19,</t>
        </is>
      </c>
      <c r="F216" s="47" t="inlineStr">
        <is>
          <t>LKT. 2026-01 -PL609</t>
        </is>
      </c>
      <c r="G216" s="78" t="n">
        <v>102000</v>
      </c>
      <c r="H216" s="78" t="n">
        <v>7140</v>
      </c>
      <c r="I216" s="78" t="n">
        <v>109140</v>
      </c>
      <c r="J216" s="46" t="inlineStr">
        <is>
          <t>⚪ รอผล</t>
        </is>
      </c>
      <c r="K216" s="46" t="inlineStr">
        <is>
          <t>—</t>
        </is>
      </c>
      <c r="L216" s="46" t="inlineStr">
        <is>
          <t>ต่ำ</t>
        </is>
      </c>
      <c r="M216" s="46" t="inlineStr">
        <is>
          <t>—</t>
        </is>
      </c>
      <c r="N216" s="46" t="inlineStr">
        <is>
          <t>⚪ รอสอบถาม</t>
        </is>
      </c>
    </row>
    <row r="217" ht="14" customHeight="1">
      <c r="A217" s="46" t="n">
        <v>213</v>
      </c>
      <c r="B217" s="46" t="inlineStr">
        <is>
          <t>PL630</t>
        </is>
      </c>
      <c r="C217" s="47" t="inlineStr">
        <is>
          <t>ทริคอิเล็คทริค</t>
        </is>
      </c>
      <c r="D217" s="46" t="inlineStr">
        <is>
          <t>2026-01</t>
        </is>
      </c>
      <c r="E217" s="47" t="inlineStr">
        <is>
          <t>อื่นๆ</t>
        </is>
      </c>
      <c r="F217" s="47" t="inlineStr">
        <is>
          <t>LKT. 2026-01 -PL630</t>
        </is>
      </c>
      <c r="G217" s="78" t="n">
        <v>100038.4</v>
      </c>
      <c r="H217" s="78" t="n">
        <v>7002.69</v>
      </c>
      <c r="I217" s="78" t="n">
        <v>107041.09</v>
      </c>
      <c r="J217" s="46" t="inlineStr">
        <is>
          <t>⚪ รอผล</t>
        </is>
      </c>
      <c r="K217" s="46" t="inlineStr">
        <is>
          <t>—</t>
        </is>
      </c>
      <c r="L217" s="46" t="inlineStr">
        <is>
          <t>ต่ำ</t>
        </is>
      </c>
      <c r="M217" s="46" t="inlineStr">
        <is>
          <t>—</t>
        </is>
      </c>
      <c r="N217" s="46" t="inlineStr">
        <is>
          <t>⚪ รอสอบถาม</t>
        </is>
      </c>
    </row>
    <row r="218" ht="14" customHeight="1">
      <c r="A218" s="46" t="n">
        <v>214</v>
      </c>
      <c r="B218" s="46" t="inlineStr">
        <is>
          <t>PL942</t>
        </is>
      </c>
      <c r="C218" s="47" t="inlineStr">
        <is>
          <t>สำนักงานเทศบาลนครมาบตาพุด</t>
        </is>
      </c>
      <c r="D218" s="46" t="inlineStr">
        <is>
          <t>2026-06</t>
        </is>
      </c>
      <c r="E218" s="47" t="inlineStr">
        <is>
          <t>LED Streetlight 120W×19 ชุด</t>
        </is>
      </c>
      <c r="F218" s="47" t="inlineStr">
        <is>
          <t>LKT. 2026-06 -PL942</t>
        </is>
      </c>
      <c r="G218" s="78" t="n">
        <v>96824</v>
      </c>
      <c r="H218" s="78" t="n">
        <v>6777.68</v>
      </c>
      <c r="I218" s="78" t="n">
        <v>103601.68</v>
      </c>
      <c r="J218" s="46" t="inlineStr">
        <is>
          <t>⚪ รอผล</t>
        </is>
      </c>
      <c r="K218" s="46" t="inlineStr">
        <is>
          <t>—</t>
        </is>
      </c>
      <c r="L218" s="46" t="inlineStr">
        <is>
          <t>ต่ำ</t>
        </is>
      </c>
      <c r="M218" s="46" t="inlineStr">
        <is>
          <t>—</t>
        </is>
      </c>
      <c r="N218" s="46" t="inlineStr">
        <is>
          <t>⚪ รอสอบถาม</t>
        </is>
      </c>
    </row>
    <row r="219" ht="14" customHeight="1">
      <c r="A219" s="46" t="n">
        <v>215</v>
      </c>
      <c r="B219" s="46" t="inlineStr">
        <is>
          <t>PL896</t>
        </is>
      </c>
      <c r="C219" s="47" t="inlineStr">
        <is>
          <t>แอคคาส กรุ๊ป</t>
        </is>
      </c>
      <c r="D219" s="46" t="inlineStr">
        <is>
          <t>2026-05</t>
        </is>
      </c>
      <c r="E219" s="47" t="inlineStr">
        <is>
          <t>HIGH MAST POLE 15M (เสาเปลา)</t>
        </is>
      </c>
      <c r="F219" s="47" t="inlineStr">
        <is>
          <t>LKT. 2026-05-896</t>
        </is>
      </c>
      <c r="G219" s="78" t="n">
        <v>94570</v>
      </c>
      <c r="H219" s="78" t="n">
        <v>6619.9</v>
      </c>
      <c r="I219" s="78" t="n">
        <v>101189.9</v>
      </c>
      <c r="J219" s="46" t="inlineStr">
        <is>
          <t>⚪ รอผล</t>
        </is>
      </c>
      <c r="K219" s="46" t="inlineStr">
        <is>
          <t>—</t>
        </is>
      </c>
      <c r="L219" s="46" t="inlineStr">
        <is>
          <t>ต่ำ</t>
        </is>
      </c>
      <c r="M219" s="46" t="inlineStr">
        <is>
          <t>—</t>
        </is>
      </c>
      <c r="N219" s="46" t="inlineStr">
        <is>
          <t>⚪ รอสอบถาม</t>
        </is>
      </c>
    </row>
    <row r="220" ht="14" customHeight="1">
      <c r="A220" s="46" t="n">
        <v>216</v>
      </c>
      <c r="B220" s="46" t="inlineStr">
        <is>
          <t>PL616</t>
        </is>
      </c>
      <c r="C220" s="47" t="inlineStr">
        <is>
          <t>วิ-หลี กรุ๊ป</t>
        </is>
      </c>
      <c r="D220" s="46" t="inlineStr">
        <is>
          <t>2026-01</t>
        </is>
      </c>
      <c r="E220" s="47" t="inlineStr">
        <is>
          <t>Pole With Bracket 9M-T4-TR</t>
        </is>
      </c>
      <c r="F220" s="47" t="inlineStr">
        <is>
          <t>LKT. 2026-01 -PL616</t>
        </is>
      </c>
      <c r="G220" s="78" t="n">
        <v>94109.39999999999</v>
      </c>
      <c r="H220" s="78" t="n">
        <v>6587.66</v>
      </c>
      <c r="I220" s="78" t="n">
        <v>100697.06</v>
      </c>
      <c r="J220" s="46" t="inlineStr">
        <is>
          <t>⚪ รอผล</t>
        </is>
      </c>
      <c r="K220" s="46" t="inlineStr">
        <is>
          <t>—</t>
        </is>
      </c>
      <c r="L220" s="46" t="inlineStr">
        <is>
          <t>ต่ำ</t>
        </is>
      </c>
      <c r="M220" s="46" t="inlineStr">
        <is>
          <t>—</t>
        </is>
      </c>
      <c r="N220" s="46" t="inlineStr">
        <is>
          <t>⚪ รอสอบถาม</t>
        </is>
      </c>
    </row>
    <row r="221" ht="18" customHeight="1">
      <c r="A221" s="124" t="inlineStr">
        <is>
          <t>รวม Follow-Up ≥ 100K — 216 รายการ</t>
        </is>
      </c>
      <c r="G221" s="125" t="n">
        <v>168550964.56</v>
      </c>
      <c r="H221" s="125" t="n">
        <v>11796376.57</v>
      </c>
      <c r="I221" s="125" t="n">
        <v>180316041.13</v>
      </c>
    </row>
  </sheetData>
  <mergeCells count="3">
    <mergeCell ref="A221:F221"/>
    <mergeCell ref="A3:N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2026-06-16T10:41:48Z</dcterms:created>
  <dcterms:modified xsi:type="dcterms:W3CDTF">2026-06-16T10:41:50Z</dcterms:modified>
</cp:coreProperties>
</file>